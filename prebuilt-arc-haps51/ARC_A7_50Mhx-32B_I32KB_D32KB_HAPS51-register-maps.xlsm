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4275" yWindow="1080" windowWidth="10845" windowHeight="6165"/>
  </bookViews>
  <sheets>
    <sheet name="Parameters" sheetId="24" r:id="rId1"/>
    <sheet name="USB" sheetId="1" r:id="rId2"/>
    <sheet name="SDIO" sheetId="2" r:id="rId3"/>
    <sheet name="UART" sheetId="3" r:id="rId4"/>
    <sheet name="INTC" sheetId="4" r:id="rId5"/>
    <sheet name="SPI" sheetId="5" r:id="rId6"/>
    <sheet name="I2C" sheetId="6" r:id="rId7"/>
    <sheet name="I2S" sheetId="7" r:id="rId8"/>
    <sheet name="RTC" sheetId="8" r:id="rId9"/>
    <sheet name="GPIO" sheetId="16" r:id="rId10"/>
    <sheet name="DMAC" sheetId="9" r:id="rId11"/>
    <sheet name="RAMROM" sheetId="19" r:id="rId12"/>
    <sheet name="WDT" sheetId="10" r:id="rId13"/>
    <sheet name="DSI" sheetId="13" r:id="rId14"/>
    <sheet name="PGU regs" sheetId="23" r:id="rId15"/>
    <sheet name="DDR" sheetId="11" r:id="rId16"/>
    <sheet name="Bridges" sheetId="18" r:id="rId17"/>
    <sheet name="Clocks" sheetId="14" r:id="rId18"/>
    <sheet name="Reset" sheetId="17" r:id="rId19"/>
    <sheet name="Interrupts" sheetId="15" r:id="rId20"/>
    <sheet name="Address Map" sheetId="20" r:id="rId21"/>
    <sheet name="DMA Flow Control" sheetId="21" r:id="rId22"/>
    <sheet name="Area" sheetId="22" r:id="rId23"/>
  </sheets>
  <calcPr calcId="145621" calcOnSave="0"/>
</workbook>
</file>

<file path=xl/calcChain.xml><?xml version="1.0" encoding="utf-8"?>
<calcChain xmlns="http://schemas.openxmlformats.org/spreadsheetml/2006/main">
  <c r="I102" i="20" l="1"/>
  <c r="I20" i="20"/>
  <c r="I24" i="20"/>
  <c r="I23" i="20"/>
  <c r="I22" i="20"/>
  <c r="I21" i="20"/>
  <c r="G20" i="20"/>
  <c r="H20" i="20" s="1"/>
  <c r="G21" i="20"/>
  <c r="H21" i="20" s="1"/>
  <c r="G22" i="20"/>
  <c r="H22" i="20" s="1"/>
  <c r="I25" i="20"/>
  <c r="G24" i="20"/>
  <c r="H24" i="20" s="1"/>
  <c r="G25" i="20"/>
  <c r="H25" i="20" s="1"/>
  <c r="G23" i="20"/>
  <c r="H23" i="20" s="1"/>
  <c r="I19" i="20"/>
  <c r="G19" i="20"/>
  <c r="H19" i="20" s="1"/>
  <c r="I18" i="20"/>
  <c r="G18" i="20"/>
  <c r="H18" i="20" s="1"/>
  <c r="I17" i="20"/>
  <c r="G17" i="20"/>
  <c r="H17" i="20" s="1"/>
  <c r="I16" i="20"/>
  <c r="G16" i="20"/>
  <c r="H16" i="20" s="1"/>
  <c r="I15" i="20"/>
  <c r="G15" i="20"/>
  <c r="H15" i="20" s="1"/>
  <c r="I13" i="20"/>
  <c r="G13" i="20"/>
  <c r="H13" i="20" s="1"/>
  <c r="I12" i="20"/>
  <c r="G12" i="20"/>
  <c r="H12" i="20" s="1"/>
  <c r="I11" i="20"/>
  <c r="G11" i="20"/>
  <c r="H11" i="20" s="1"/>
  <c r="I10" i="20"/>
  <c r="G10" i="20"/>
  <c r="H10" i="20" s="1"/>
  <c r="I9" i="20"/>
  <c r="G9" i="20"/>
  <c r="H9" i="20" s="1"/>
  <c r="I8" i="20"/>
  <c r="G8" i="20"/>
  <c r="H8" i="20" s="1"/>
  <c r="G7" i="20"/>
  <c r="H7" i="20" s="1"/>
  <c r="I40" i="20"/>
  <c r="G40" i="20"/>
  <c r="H40" i="20" s="1"/>
  <c r="I39" i="20"/>
  <c r="G39" i="20"/>
  <c r="H39" i="20" s="1"/>
  <c r="I38" i="20"/>
  <c r="G38" i="20"/>
  <c r="H38" i="20" s="1"/>
  <c r="I75" i="20"/>
  <c r="G75" i="20"/>
  <c r="H75" i="20" s="1"/>
  <c r="I29" i="20"/>
  <c r="G29" i="20"/>
  <c r="H29" i="20" s="1"/>
  <c r="I46" i="20"/>
  <c r="G46" i="20"/>
  <c r="H46" i="20" s="1"/>
  <c r="I45" i="20"/>
  <c r="G45" i="20"/>
  <c r="H45" i="20" s="1"/>
  <c r="I44" i="20"/>
  <c r="G44" i="20"/>
  <c r="H44" i="20" s="1"/>
  <c r="I43" i="20"/>
  <c r="G43" i="20"/>
  <c r="H43" i="20" s="1"/>
  <c r="I42" i="20"/>
  <c r="G42" i="20"/>
  <c r="H42" i="20" s="1"/>
  <c r="I41" i="20"/>
  <c r="G41" i="20"/>
  <c r="H41" i="20" s="1"/>
  <c r="I37" i="20"/>
  <c r="G37" i="20"/>
  <c r="H37" i="20" s="1"/>
  <c r="I36" i="20"/>
  <c r="G36" i="20"/>
  <c r="H36" i="20" s="1"/>
  <c r="I35" i="20"/>
  <c r="G35" i="20"/>
  <c r="H35" i="20" s="1"/>
  <c r="I34" i="20"/>
  <c r="G34" i="20"/>
  <c r="H34" i="20" s="1"/>
  <c r="I33" i="20"/>
  <c r="G33" i="20"/>
  <c r="H33" i="20" s="1"/>
  <c r="I32" i="20"/>
  <c r="G32" i="20"/>
  <c r="H32" i="20" s="1"/>
  <c r="I31" i="20"/>
  <c r="G31" i="20"/>
  <c r="H31" i="20" s="1"/>
  <c r="I30" i="20"/>
  <c r="G30" i="20"/>
  <c r="H30" i="20" s="1"/>
  <c r="I103" i="20"/>
  <c r="G103" i="20"/>
  <c r="H103" i="20" s="1"/>
  <c r="G102" i="20"/>
  <c r="H102" i="20" s="1"/>
  <c r="I101" i="20"/>
  <c r="G101" i="20"/>
  <c r="H101" i="20" s="1"/>
  <c r="I100" i="20"/>
  <c r="G100" i="20"/>
  <c r="H100" i="20" s="1"/>
  <c r="I99" i="20"/>
  <c r="G99" i="20"/>
  <c r="H99" i="20" s="1"/>
  <c r="I77" i="20"/>
  <c r="I79" i="20"/>
  <c r="I81" i="20"/>
  <c r="I84" i="20"/>
  <c r="I85" i="20"/>
  <c r="G84" i="20"/>
  <c r="H84" i="20" s="1"/>
  <c r="I86" i="20"/>
  <c r="G85" i="20"/>
  <c r="H85" i="20" s="1"/>
  <c r="I78" i="20"/>
  <c r="G78" i="20"/>
  <c r="H78" i="20" s="1"/>
  <c r="G77" i="20"/>
  <c r="H77" i="20" s="1"/>
  <c r="I76" i="20"/>
  <c r="G76" i="20"/>
  <c r="H76" i="20" s="1"/>
  <c r="D20" i="22"/>
  <c r="D17" i="22"/>
  <c r="D15" i="22"/>
  <c r="D12" i="22"/>
  <c r="D11" i="22"/>
  <c r="D7" i="22"/>
  <c r="D6" i="22"/>
  <c r="E15" i="22"/>
  <c r="E20" i="22"/>
  <c r="E17" i="22"/>
  <c r="E12" i="22"/>
  <c r="E11" i="22"/>
  <c r="B18" i="22"/>
  <c r="E18" i="22" s="1"/>
  <c r="C18" i="22"/>
  <c r="D18" i="22" s="1"/>
  <c r="B13" i="22"/>
  <c r="C13" i="22" s="1"/>
  <c r="D13" i="22" s="1"/>
  <c r="C8" i="22"/>
  <c r="D8" i="22" s="1"/>
  <c r="B5" i="22"/>
  <c r="B6" i="22"/>
  <c r="E6" i="22" s="1"/>
  <c r="B7" i="22"/>
  <c r="E7" i="22" s="1"/>
  <c r="G28" i="20"/>
  <c r="H28" i="20" s="1"/>
  <c r="I48" i="20"/>
  <c r="I47" i="20"/>
  <c r="I70" i="20"/>
  <c r="I69" i="20"/>
  <c r="I68" i="20"/>
  <c r="I67" i="20"/>
  <c r="I74" i="20"/>
  <c r="G74" i="20"/>
  <c r="H74" i="20" s="1"/>
  <c r="G69" i="20"/>
  <c r="H69" i="20" s="1"/>
  <c r="I98" i="20"/>
  <c r="I97" i="20"/>
  <c r="I96" i="20"/>
  <c r="I14" i="20"/>
  <c r="G14" i="20"/>
  <c r="H14" i="20" s="1"/>
  <c r="I55" i="20"/>
  <c r="G55" i="20"/>
  <c r="H55" i="20" s="1"/>
  <c r="I54" i="20"/>
  <c r="G54" i="20"/>
  <c r="H54" i="20" s="1"/>
  <c r="I53" i="20"/>
  <c r="G53" i="20"/>
  <c r="H53" i="20" s="1"/>
  <c r="I52" i="20"/>
  <c r="G52" i="20"/>
  <c r="H52" i="20" s="1"/>
  <c r="I51" i="20"/>
  <c r="G51" i="20"/>
  <c r="H51" i="20" s="1"/>
  <c r="I50" i="20"/>
  <c r="G50" i="20"/>
  <c r="H50" i="20" s="1"/>
  <c r="G48" i="20"/>
  <c r="H48" i="20" s="1"/>
  <c r="G47" i="20"/>
  <c r="H47" i="20" s="1"/>
  <c r="I49" i="20"/>
  <c r="G49" i="20"/>
  <c r="H49" i="20" s="1"/>
  <c r="I57" i="20"/>
  <c r="G57" i="20"/>
  <c r="H57" i="20" s="1"/>
  <c r="I56" i="20"/>
  <c r="G56" i="20"/>
  <c r="H56" i="20" s="1"/>
  <c r="I58" i="20"/>
  <c r="G58" i="20"/>
  <c r="H58" i="20" s="1"/>
  <c r="I60" i="20"/>
  <c r="I59" i="20"/>
  <c r="G59" i="20"/>
  <c r="H59" i="20" s="1"/>
  <c r="I63" i="20"/>
  <c r="I62" i="20"/>
  <c r="I61" i="20"/>
  <c r="G61" i="20"/>
  <c r="H61" i="20" s="1"/>
  <c r="G60" i="20"/>
  <c r="H60" i="20" s="1"/>
  <c r="I65" i="20"/>
  <c r="I64" i="20"/>
  <c r="G63" i="20"/>
  <c r="H63" i="20" s="1"/>
  <c r="G62" i="20"/>
  <c r="H62" i="20" s="1"/>
  <c r="I66" i="20"/>
  <c r="G66" i="20"/>
  <c r="H66" i="20" s="1"/>
  <c r="I80" i="20"/>
  <c r="I72" i="20"/>
  <c r="I71" i="20"/>
  <c r="G70" i="20"/>
  <c r="H70" i="20" s="1"/>
  <c r="G68" i="20"/>
  <c r="H68" i="20" s="1"/>
  <c r="G67" i="20"/>
  <c r="H67" i="20" s="1"/>
  <c r="G65" i="20"/>
  <c r="H65" i="20" s="1"/>
  <c r="G64" i="20"/>
  <c r="H64" i="20" s="1"/>
  <c r="I73" i="20"/>
  <c r="G71" i="20"/>
  <c r="H71" i="20" s="1"/>
  <c r="G72" i="20"/>
  <c r="H72" i="20" s="1"/>
  <c r="I95" i="20"/>
  <c r="I94" i="20"/>
  <c r="I93" i="20"/>
  <c r="I92" i="20"/>
  <c r="I91" i="20"/>
  <c r="I90" i="20"/>
  <c r="I89" i="20"/>
  <c r="I88" i="20"/>
  <c r="I87" i="20"/>
  <c r="I83" i="20"/>
  <c r="I82" i="20"/>
  <c r="G98" i="20"/>
  <c r="H98" i="20" s="1"/>
  <c r="G97" i="20"/>
  <c r="H97" i="20" s="1"/>
  <c r="G96" i="20"/>
  <c r="H96" i="20" s="1"/>
  <c r="G95" i="20"/>
  <c r="H95" i="20" s="1"/>
  <c r="G94" i="20"/>
  <c r="H94" i="20" s="1"/>
  <c r="G93" i="20"/>
  <c r="H93" i="20" s="1"/>
  <c r="G92" i="20"/>
  <c r="H92" i="20" s="1"/>
  <c r="G91" i="20"/>
  <c r="H91" i="20" s="1"/>
  <c r="G90" i="20"/>
  <c r="H90" i="20" s="1"/>
  <c r="G89" i="20"/>
  <c r="H89" i="20" s="1"/>
  <c r="G88" i="20"/>
  <c r="H88" i="20" s="1"/>
  <c r="G87" i="20"/>
  <c r="H87" i="20" s="1"/>
  <c r="G86" i="20"/>
  <c r="H86" i="20" s="1"/>
  <c r="G83" i="20"/>
  <c r="H83" i="20" s="1"/>
  <c r="G82" i="20"/>
  <c r="H82" i="20" s="1"/>
  <c r="G81" i="20"/>
  <c r="H81" i="20" s="1"/>
  <c r="G80" i="20"/>
  <c r="H80" i="20" s="1"/>
  <c r="G79" i="20"/>
  <c r="H79" i="20" s="1"/>
  <c r="G73" i="20"/>
  <c r="H73" i="20" s="1"/>
  <c r="B9" i="22" l="1"/>
  <c r="B22" i="22" s="1"/>
  <c r="E8" i="22"/>
  <c r="E13" i="22"/>
  <c r="C9" i="22" l="1"/>
  <c r="D9" i="22" s="1"/>
  <c r="C5" i="22"/>
  <c r="C22" i="22"/>
  <c r="E9" i="22"/>
  <c r="E5" i="22" l="1"/>
  <c r="D5" i="22"/>
  <c r="E22" i="22"/>
  <c r="D22" i="22"/>
  <c r="F8" i="22"/>
  <c r="F17" i="22"/>
  <c r="F12" i="22"/>
  <c r="F18" i="22"/>
  <c r="F20" i="22"/>
  <c r="F22" i="22"/>
  <c r="F15" i="22"/>
  <c r="F6" i="22"/>
  <c r="F7" i="22"/>
  <c r="F5" i="22"/>
  <c r="F11" i="22"/>
  <c r="F9" i="22" l="1"/>
  <c r="F13" i="22"/>
</calcChain>
</file>

<file path=xl/sharedStrings.xml><?xml version="1.0" encoding="utf-8"?>
<sst xmlns="http://schemas.openxmlformats.org/spreadsheetml/2006/main" count="3324" uniqueCount="2013">
  <si>
    <t>Mode of Operation</t>
  </si>
  <si>
    <t>HNP- and SRP-Capable OTG (Device &amp; Host)</t>
  </si>
  <si>
    <t>Architecture</t>
  </si>
  <si>
    <t>Internal DMA</t>
  </si>
  <si>
    <t>Point-to-Point Application Only?</t>
  </si>
  <si>
    <t>No</t>
  </si>
  <si>
    <t>LPM Mode of Operation</t>
  </si>
  <si>
    <t>LPM capable Core</t>
  </si>
  <si>
    <t>Enable Dedicated Transmit FIFO for device IN Endpoints?</t>
  </si>
  <si>
    <t>Enable descriptor based scatter/gather DMA</t>
  </si>
  <si>
    <t>Yes</t>
  </si>
  <si>
    <t>Parameter</t>
  </si>
  <si>
    <t>Enable option for endpoint specific interrupt</t>
  </si>
  <si>
    <t>Group</t>
  </si>
  <si>
    <t>Basic</t>
  </si>
  <si>
    <t>PHY</t>
  </si>
  <si>
    <t>High-Speed PHY Interface(s)</t>
  </si>
  <si>
    <t>UTMI+ and ULPI</t>
  </si>
  <si>
    <t>Data Width of the UTMI+ Interface</t>
  </si>
  <si>
    <t>8/16 bits</t>
  </si>
  <si>
    <t>USB 1.1 Full-Speed Serial Transceiver Interface</t>
  </si>
  <si>
    <t>None</t>
  </si>
  <si>
    <t>HSIC Mode of Operation</t>
  </si>
  <si>
    <t>Non-HSIC Capable Core</t>
  </si>
  <si>
    <t>ADP Controller Support</t>
  </si>
  <si>
    <t>Battery Charger Support</t>
  </si>
  <si>
    <t>Enable PHY Vendor Control Interface?</t>
  </si>
  <si>
    <t>Device</t>
  </si>
  <si>
    <t>Number of Device Mode Endpoints in Addition to Control Endpoint 0</t>
  </si>
  <si>
    <t>Number of Device Mode active IN Endpoints Including Control Endpoint 0</t>
  </si>
  <si>
    <t>Number of Device Mode Control Endpoints in Addition to Endpoint 0</t>
  </si>
  <si>
    <t>Host</t>
  </si>
  <si>
    <t>Number of Host Mode Channels</t>
  </si>
  <si>
    <t>Is Periodic OUT Channel Support Needed in Host Mode?</t>
  </si>
  <si>
    <t>EP FIFO</t>
  </si>
  <si>
    <t>Total Data FIFO RAM Depth</t>
  </si>
  <si>
    <t>Enable Dynamic FIFO Sizing?</t>
  </si>
  <si>
    <t>Largest Rx Data FIFO Depth</t>
  </si>
  <si>
    <t>Largest Non-Periodic Host Tx Data FIFO Depth</t>
  </si>
  <si>
    <t>Largest Host Mode Periodic Tx Data FIFO Depth</t>
  </si>
  <si>
    <t>Non-Periodic Request Queue Depth</t>
  </si>
  <si>
    <t>Host Mode Periodic Request Queue Depth</t>
  </si>
  <si>
    <t>Addit</t>
  </si>
  <si>
    <t>Width of Transfer Size Counters</t>
  </si>
  <si>
    <t>Width of Packet Counters</t>
  </si>
  <si>
    <t>Remove Optional Features?</t>
  </si>
  <si>
    <t>Enable Power Optimization?</t>
  </si>
  <si>
    <t>Reset Style for Clocked always Blocks in RTL?</t>
  </si>
  <si>
    <t>Instantiate Double-Synchronization Flops?</t>
  </si>
  <si>
    <t>Enable Filter on "iddig" signal from PHY?</t>
  </si>
  <si>
    <t>Enable Filter on "vbus_valid" signal from PHY?</t>
  </si>
  <si>
    <t>Enable Filter on "a_valid" signal from PHY?</t>
  </si>
  <si>
    <t>Enable Filter on "b_valid" signal from PHY?</t>
  </si>
  <si>
    <t>Enable Filter on "session_end" signal from PHY?</t>
  </si>
  <si>
    <t>PartialPowerDown</t>
  </si>
  <si>
    <t>Asynchronous</t>
  </si>
  <si>
    <t>check with PHY</t>
  </si>
  <si>
    <t>EP Dir</t>
  </si>
  <si>
    <t>IN and OUT</t>
  </si>
  <si>
    <t>Direction Endpoint 1-6</t>
  </si>
  <si>
    <t>Dev IN EP FIFO</t>
  </si>
  <si>
    <t>Largest Device Mode Tx Data FIFO 0 Depth</t>
  </si>
  <si>
    <t>Largest Device Mode Tx Data FIFO 1 Depth</t>
  </si>
  <si>
    <t>Largest Device Mode Tx Data FIFO 2 Depth</t>
  </si>
  <si>
    <t>Largest Device Mode Tx Data FIFO 3 Depth</t>
  </si>
  <si>
    <t>Largest Device Mode Tx Data FIFO 4 Depth</t>
  </si>
  <si>
    <t>Largest Device Mode Tx Data FIFO 5 Depth</t>
  </si>
  <si>
    <t>Largest Device Mode Tx Data FIFO 6 Depth</t>
  </si>
  <si>
    <t>Can be nice to have both Device and host mode</t>
  </si>
  <si>
    <t>Use internal scatter-gather DMA</t>
  </si>
  <si>
    <t>Need multiple devices on the host</t>
  </si>
  <si>
    <t>Need power management</t>
  </si>
  <si>
    <t>Better QoS</t>
  </si>
  <si>
    <t>Only one interrupt to interrupt controller</t>
  </si>
  <si>
    <t>Flexibility, also for FPGA</t>
  </si>
  <si>
    <t>Will use HS/FS only</t>
  </si>
  <si>
    <t>No HS Interchip support</t>
  </si>
  <si>
    <t xml:space="preserve"> Host parameter value</t>
  </si>
  <si>
    <t xml:space="preserve"> Device parameter value</t>
  </si>
  <si>
    <t>Standard configuration</t>
  </si>
  <si>
    <t>Useful for flexibility</t>
  </si>
  <si>
    <t>Use asynchronous reset as much as  possible</t>
  </si>
  <si>
    <t>Assume no special sync cells</t>
  </si>
  <si>
    <t>Depends on PHY</t>
  </si>
  <si>
    <t>Flexibilty</t>
  </si>
  <si>
    <t xml:space="preserve"> Parameter value</t>
  </si>
  <si>
    <t>Controller Type (Bus-topology vs Star-topology)</t>
  </si>
  <si>
    <t>SD_MMC_CE-ATA</t>
  </si>
  <si>
    <t>Maximum Number of Cards</t>
  </si>
  <si>
    <t>Host Bus Type</t>
  </si>
  <si>
    <t>AHB</t>
  </si>
  <si>
    <t>Host Data Bus Width</t>
  </si>
  <si>
    <t>Host Address Bus Width</t>
  </si>
  <si>
    <t>Internal DMA Controller</t>
  </si>
  <si>
    <t>yes</t>
  </si>
  <si>
    <t>FIFO Buffer depth</t>
  </si>
  <si>
    <t>FIFO RAM Inside or Outside the Controller?</t>
  </si>
  <si>
    <t>Inside</t>
  </si>
  <si>
    <t>Number of Clock Dividers</t>
  </si>
  <si>
    <t>Power-On Value of User Identification Register</t>
  </si>
  <si>
    <t>0x7967797</t>
  </si>
  <si>
    <t>Set clk to cclk_in and vice versa false path?</t>
  </si>
  <si>
    <t>Enable Area Optimization?</t>
  </si>
  <si>
    <t>no</t>
  </si>
  <si>
    <t>Impement Scan Mux for Negative edge FF?</t>
  </si>
  <si>
    <t>Support all standards</t>
  </si>
  <si>
    <t>Max two cards supported</t>
  </si>
  <si>
    <t>Can be small because of integrated DMA</t>
  </si>
  <si>
    <t>Take minimum</t>
  </si>
  <si>
    <t>RAM may be implemented as flip-flops</t>
  </si>
  <si>
    <t>Run both cards at same clock</t>
  </si>
  <si>
    <t>Take default</t>
  </si>
  <si>
    <t>false path in clock domain crossing</t>
  </si>
  <si>
    <t>32b AHB master/slave interface</t>
  </si>
  <si>
    <t>APB Data Bus Width</t>
  </si>
  <si>
    <t>UART FIFO depth</t>
  </si>
  <si>
    <t>FIFO Memory Type</t>
  </si>
  <si>
    <t>Asynchronous Serial Clock Support</t>
  </si>
  <si>
    <t>Auto Flow Control</t>
  </si>
  <si>
    <t>Programmable THRE Interrupt Mode</t>
  </si>
  <si>
    <t>IrDA SIR Mode Support</t>
  </si>
  <si>
    <t>Include FIFO Access Mode?</t>
  </si>
  <si>
    <t>Active low DMA Signals?</t>
  </si>
  <si>
    <t>Low Power IrDA SIR Mode
Support</t>
  </si>
  <si>
    <t>Remove Busy Functionality?</t>
  </si>
  <si>
    <t>Internal</t>
  </si>
  <si>
    <t>Can be used as transmit USART?</t>
  </si>
  <si>
    <t>Needs to connect to a 32b APB bus</t>
  </si>
  <si>
    <t>Buffers as flip-flops</t>
  </si>
  <si>
    <t>Dedicated baud-clock inputs</t>
  </si>
  <si>
    <t>Only RT/CTS flow control on modem interface UART</t>
  </si>
  <si>
    <t>Default configuration</t>
  </si>
  <si>
    <t>Only IrDA on one UART</t>
  </si>
  <si>
    <t>Gating by synthesis and clock controller</t>
  </si>
  <si>
    <t>No debug requirement</t>
  </si>
  <si>
    <t>Not required</t>
  </si>
  <si>
    <t>Nice to have</t>
  </si>
  <si>
    <t>Only for 16550 compliant UART</t>
  </si>
  <si>
    <t>APB Data bus width</t>
  </si>
  <si>
    <t>Install Priority Controller?</t>
  </si>
  <si>
    <t>Be able to read priorities?</t>
  </si>
  <si>
    <t>Hard-coded priorities?</t>
  </si>
  <si>
    <t>Install Vector Generation?</t>
  </si>
  <si>
    <t>Include Default Vector Logic?</t>
  </si>
  <si>
    <t>Number of irq sources (2-&gt; 64)</t>
  </si>
  <si>
    <t>IRQ Source Polarity Type</t>
  </si>
  <si>
    <t>Individual irq enables on reset</t>
  </si>
  <si>
    <t>System priority controller filter level</t>
  </si>
  <si>
    <t>Default Priority Vector</t>
  </si>
  <si>
    <t>Hardcode Default Vector</t>
  </si>
  <si>
    <t>Interrupt n Active High?</t>
  </si>
  <si>
    <t>ARC interrupt inputs are active low</t>
  </si>
  <si>
    <t>Bus interface 64 bits to backbone</t>
  </si>
  <si>
    <t>Need priorities</t>
  </si>
  <si>
    <t>Required for reprogramming</t>
  </si>
  <si>
    <t>Required for vectored interrupts</t>
  </si>
  <si>
    <t>Require 64 interrupt inputs</t>
  </si>
  <si>
    <t>Individual</t>
  </si>
  <si>
    <t>Depends on peripheral</t>
  </si>
  <si>
    <t>0x0</t>
  </si>
  <si>
    <t>All interrupts disabled on reset</t>
  </si>
  <si>
    <t>TBD</t>
  </si>
  <si>
    <t>Pass all interrupts</t>
  </si>
  <si>
    <t>At reset all interrupts at same priority level</t>
  </si>
  <si>
    <t>base+64*n</t>
  </si>
  <si>
    <r>
      <t xml:space="preserve">Priority level of IRQ Source </t>
    </r>
    <r>
      <rPr>
        <i/>
        <sz val="11"/>
        <color theme="1"/>
        <rFont val="Calibri"/>
        <family val="2"/>
        <scheme val="minor"/>
      </rPr>
      <t>n</t>
    </r>
  </si>
  <si>
    <r>
      <t xml:space="preserve">Priority </t>
    </r>
    <r>
      <rPr>
        <i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vector</t>
    </r>
  </si>
  <si>
    <r>
      <t xml:space="preserve">Hardcode Vector </t>
    </r>
    <r>
      <rPr>
        <i/>
        <sz val="11"/>
        <color theme="1"/>
        <rFont val="Calibri"/>
        <family val="2"/>
        <scheme val="minor"/>
      </rPr>
      <t>n</t>
    </r>
  </si>
  <si>
    <t>All vectors are reprogrammable</t>
  </si>
  <si>
    <t>Vector for default handler (no interrupts)</t>
  </si>
  <si>
    <t>Require 32b APB interface</t>
  </si>
  <si>
    <t>Serial Master or Slave configuration</t>
  </si>
  <si>
    <t>master</t>
  </si>
  <si>
    <t>Required to control external peripherals</t>
  </si>
  <si>
    <t>Receive FIFO buffer depth</t>
  </si>
  <si>
    <t>Transmit FIFO buffer depth</t>
  </si>
  <si>
    <t>Number of slave select lines</t>
  </si>
  <si>
    <t>Include Programmable RXD Sample Logic</t>
  </si>
  <si>
    <t>Peripheral ID code</t>
  </si>
  <si>
    <t>Include DMA handshaking interface signals?</t>
  </si>
  <si>
    <t>Configure interrupt pinout</t>
  </si>
  <si>
    <t>Active interrupt level</t>
  </si>
  <si>
    <t>Are pclk and ssi_clk synchronous</t>
  </si>
  <si>
    <t>Generate clock enable for ssi_clk</t>
  </si>
  <si>
    <t>Hard code frame format</t>
  </si>
  <si>
    <t>Default frame format</t>
  </si>
  <si>
    <t>Default serial  clock polarity</t>
  </si>
  <si>
    <t>Default serial clock phase</t>
  </si>
  <si>
    <t>Combined Interupt</t>
  </si>
  <si>
    <t>Active Low</t>
  </si>
  <si>
    <t>Total of 8 devices may be attached</t>
  </si>
  <si>
    <t>Flexibility</t>
  </si>
  <si>
    <t>Needs to integrate with DMA controller</t>
  </si>
  <si>
    <t>Only one interrupt output</t>
  </si>
  <si>
    <t>Interrupt output will be active low</t>
  </si>
  <si>
    <t>Asynchronous interface clock</t>
  </si>
  <si>
    <t>Maximum RXD Sample Delay</t>
  </si>
  <si>
    <t>No dedicated clock enable, can be handled externally if needed</t>
  </si>
  <si>
    <t>Motorola SPI</t>
  </si>
  <si>
    <t>But can be reprogrammed</t>
  </si>
  <si>
    <t>Default value</t>
  </si>
  <si>
    <t>Highest speed I2C mode supported</t>
  </si>
  <si>
    <t>Has I2C default slave address of?</t>
  </si>
  <si>
    <t>0x55</t>
  </si>
  <si>
    <t>Is an I2C master?</t>
  </si>
  <si>
    <t>Disable Slave after reset?</t>
  </si>
  <si>
    <t>Depth of transmit buffer is?</t>
  </si>
  <si>
    <t>32 byte transmit buffer</t>
  </si>
  <si>
    <t>Depth of receive buffer is?</t>
  </si>
  <si>
    <t>32 byte receive buffer</t>
  </si>
  <si>
    <t>Transmit buffer threshold level is?</t>
  </si>
  <si>
    <t>Receive buffer threshold level is?</t>
  </si>
  <si>
    <t>8 byte threshold</t>
  </si>
  <si>
    <t>0x64</t>
  </si>
  <si>
    <t>0x1</t>
  </si>
  <si>
    <t>Single Interrupt output port present?</t>
  </si>
  <si>
    <t>Polarity of interrupts is active high?</t>
  </si>
  <si>
    <t>interrupts are active low</t>
  </si>
  <si>
    <t>only one interrupt output</t>
  </si>
  <si>
    <t>Add Encoded Parameters</t>
  </si>
  <si>
    <t>No, depends on application</t>
  </si>
  <si>
    <t>Use cycle counts instead of clock frequency</t>
  </si>
  <si>
    <t>Bus and I2C clock are independent</t>
  </si>
  <si>
    <t>Std speed SCL high count is?</t>
  </si>
  <si>
    <t>0x0190</t>
  </si>
  <si>
    <t>Std speed SCL low count is?</t>
  </si>
  <si>
    <t>0x01d6</t>
  </si>
  <si>
    <t>Fast speed SCL high count is?</t>
  </si>
  <si>
    <t>0x003c</t>
  </si>
  <si>
    <t>Fast speed SCL low count is?</t>
  </si>
  <si>
    <t>0x0082</t>
  </si>
  <si>
    <t>High speed SCL high count is?</t>
  </si>
  <si>
    <t>0x006</t>
  </si>
  <si>
    <t>High speed SCL low count is?</t>
  </si>
  <si>
    <t>0x0010</t>
  </si>
  <si>
    <t>Receiver Block Enabled?</t>
  </si>
  <si>
    <t>Number of Receive Channels?</t>
  </si>
  <si>
    <t>Transmitter Block Enabled?</t>
  </si>
  <si>
    <t>Number of Transmit Channels?</t>
  </si>
  <si>
    <t>Is an I2S Master?</t>
  </si>
  <si>
    <t>Has a Word Select Length of?</t>
  </si>
  <si>
    <t>Has a Serial Clock Gating of?</t>
  </si>
  <si>
    <t>Multiple Interrupt Output Ports Present?</t>
  </si>
  <si>
    <t>Polarity of Interrupt Signals is Active High?</t>
  </si>
  <si>
    <t>Clock Domain Crossing Synchronization Depth?</t>
  </si>
  <si>
    <t>Receiver Block DMA Enabled?</t>
  </si>
  <si>
    <t>FIFO Depth - Receive Channel x?</t>
  </si>
  <si>
    <t>Transmitter Block DMA Enabled?</t>
  </si>
  <si>
    <t>FIFO Depth - Transmit Channel x?</t>
  </si>
  <si>
    <t>RX FIFO Data Available Trigger Level?</t>
  </si>
  <si>
    <t>Max Audio Resolution – Receive Channel x?</t>
  </si>
  <si>
    <t>Max Audio Resolution – Transmit Channel x?</t>
  </si>
  <si>
    <t>TX FIFO Empty Threshold Trigger Level</t>
  </si>
  <si>
    <t>FIFO Depth for RX and TX Channels?</t>
  </si>
  <si>
    <t>NA</t>
  </si>
  <si>
    <t>Only on output I2S</t>
  </si>
  <si>
    <t>Only on input I2S</t>
  </si>
  <si>
    <t>Still switchable?</t>
  </si>
  <si>
    <t>24 bits for high qualilty, 16 for medium</t>
  </si>
  <si>
    <t>Disable clock after 24 bits</t>
  </si>
  <si>
    <t>Single interrupt output</t>
  </si>
  <si>
    <t>Active low interrupt</t>
  </si>
  <si>
    <t>2 stages for sync</t>
  </si>
  <si>
    <t>Enable Rx DMA interface</t>
  </si>
  <si>
    <t>Enable Tx DMA interface</t>
  </si>
  <si>
    <t>Rationale</t>
  </si>
  <si>
    <t>Support for IrDA SIR Low-Power Reception Capabilities</t>
  </si>
  <si>
    <t>Include On-chip Debug Output Signals on I/F?</t>
  </si>
  <si>
    <t>Include Baud Clock Reference Output Signal (baudout_n) on I/F?</t>
  </si>
  <si>
    <t>Add Version and ID Registers, Enable FIFO Status, Shadow and Encoded Parameters Register Options?</t>
  </si>
  <si>
    <t>Include Software Accessible FIFO Status Registers?</t>
  </si>
  <si>
    <t>Include Additional Shadow Registers for Reducing Software Overhead?</t>
  </si>
  <si>
    <t>Include Configuration Identification Register</t>
  </si>
  <si>
    <t>Include Additional DMA Signals on I/F?</t>
  </si>
  <si>
    <t>Include Clock Gate Enable Output on I/F?</t>
  </si>
  <si>
    <t>Active-high Level for IRQ/FIQ outputs</t>
  </si>
  <si>
    <t>Make irq_intforce and fiq_intforce active-high?</t>
  </si>
  <si>
    <t>Leave register active low</t>
  </si>
  <si>
    <t>Free running pclk?</t>
  </si>
  <si>
    <t>RTC counter width</t>
  </si>
  <si>
    <t>External RTC clock enable</t>
  </si>
  <si>
    <t>RTC clock type</t>
  </si>
  <si>
    <t>Wrap counter to zero after
match?</t>
  </si>
  <si>
    <t>Interrupt in pclk domain?</t>
  </si>
  <si>
    <t>Active High Interrupt?</t>
  </si>
  <si>
    <t>Include enable bit (rtc_en) in control register (RTC_CCR) and on I/F?</t>
  </si>
  <si>
    <t>Separate input for always on APB clock</t>
  </si>
  <si>
    <t>Independent APB/RTC clocks</t>
  </si>
  <si>
    <t>Include counter wrap enable bit in control register (RTC_CCR)</t>
  </si>
  <si>
    <t>Interrupt in RTC domain</t>
  </si>
  <si>
    <t>Number of DMA channels</t>
  </si>
  <si>
    <t>ID number</t>
  </si>
  <si>
    <t>Interrupts are active high?</t>
  </si>
  <si>
    <t>Add encoded parameters</t>
  </si>
  <si>
    <t>System is big endian?</t>
  </si>
  <si>
    <t>Slave interface data bus width</t>
  </si>
  <si>
    <t>Is Layer 1 AMBA-Lite?</t>
  </si>
  <si>
    <t>Master 1 interface data bus width</t>
  </si>
  <si>
    <t>Is Layer 2 AMBA-Lite?</t>
  </si>
  <si>
    <t>Master 2 interface data bus width</t>
  </si>
  <si>
    <t>Channel x FIFO depth in bytes</t>
  </si>
  <si>
    <t>Use DesignWare Foundation Synthesis Library</t>
  </si>
  <si>
    <t>Number of AHB master interfaces</t>
  </si>
  <si>
    <t>Number of handshaking interfaces</t>
  </si>
  <si>
    <t>Interrupt pins to appear as outputs</t>
  </si>
  <si>
    <t>Use undefined length bursts only?</t>
  </si>
  <si>
    <t>Allow the slave interface to return an error response when an illegal access is attempted?</t>
  </si>
  <si>
    <t>Statically configure endianness through coreConsultant?</t>
  </si>
  <si>
    <t>Maximum value of burst transaction size</t>
  </si>
  <si>
    <t>Maximum block size in source transfer widths</t>
  </si>
  <si>
    <t>Hardcode channel x’s flow control device to allow for logic optimization</t>
  </si>
  <si>
    <t>Include logic to enable channel or bus locking on channel x?</t>
  </si>
  <si>
    <t>Allow the AMBA burst length to be limited to a programmable maximum value?</t>
  </si>
  <si>
    <t>Hardcode the master interface attached to the source of channel x</t>
  </si>
  <si>
    <t>Hardcode the master interface attached to the destination of channel x</t>
  </si>
  <si>
    <t>Hardcode channel x’s source transfer width</t>
  </si>
  <si>
    <t>Hardcode channel x’s destination transfer width</t>
  </si>
  <si>
    <t>Can the source of channel x return a non-OK response on hresp?</t>
  </si>
  <si>
    <t>Can the destination of channel x return a non-OK response on hresp?</t>
  </si>
  <si>
    <t>Include logic to enable multi-block DMA transfers on channel x?</t>
  </si>
  <si>
    <t>Choose type of multi-blocks to be supported?</t>
  </si>
  <si>
    <t>Hardcode Channel x LLP register to 0?</t>
  </si>
  <si>
    <t>Fetch status from destination of channel x?</t>
  </si>
  <si>
    <t>Fetch status from source of channel x?</t>
  </si>
  <si>
    <t>Hardcode the master interface attached to the LLP peripheral of channel x</t>
  </si>
  <si>
    <t>Can the LLP peripheral of channel x return a non-OK response on hresp?</t>
  </si>
  <si>
    <t>Include logic to enable the ‘gather’ feature on channel x?</t>
  </si>
  <si>
    <t>Include logic to enable ‘scatter’ feature on channel x?</t>
  </si>
  <si>
    <t>Include logic to enable control register writeback after each block transfer?</t>
  </si>
  <si>
    <t>combined</t>
  </si>
  <si>
    <t>Separate interfaces for mem access and periph access</t>
  </si>
  <si>
    <t>Max value</t>
  </si>
  <si>
    <t>Default</t>
  </si>
  <si>
    <t>Active low</t>
  </si>
  <si>
    <t>Do bursts</t>
  </si>
  <si>
    <t>Useful for debugging</t>
  </si>
  <si>
    <t>Useful for driver</t>
  </si>
  <si>
    <t>Little endian only</t>
  </si>
  <si>
    <t>32b bus</t>
  </si>
  <si>
    <t>AHB multilayer</t>
  </si>
  <si>
    <t>For pipelining</t>
  </si>
  <si>
    <t>Burst of 4 AHB beats</t>
  </si>
  <si>
    <t>No lock required</t>
  </si>
  <si>
    <t>Flexibility, software control</t>
  </si>
  <si>
    <t>No status</t>
  </si>
  <si>
    <t>Support scatter/gather</t>
  </si>
  <si>
    <t>No reg updates</t>
  </si>
  <si>
    <t>Host value</t>
  </si>
  <si>
    <t>Device value</t>
  </si>
  <si>
    <t>Variable</t>
  </si>
  <si>
    <t>OTG_MODE</t>
  </si>
  <si>
    <t>OTG_ARCHITECTURE</t>
  </si>
  <si>
    <t>OTG_SINGLE_POINT</t>
  </si>
  <si>
    <t>OTG_ENABLE_LPM</t>
  </si>
  <si>
    <t>OTG_EN_DED_TX_FIFO</t>
  </si>
  <si>
    <t>OTG_MULTI_PROC_INTRPT</t>
  </si>
  <si>
    <t>OTG_EN_DESC_DMA</t>
  </si>
  <si>
    <t>OTG_HSPHY_INTERFACE</t>
  </si>
  <si>
    <t>OTG_HSPHY_DWIDTH</t>
  </si>
  <si>
    <t>OTG_FSPHY_INTERFACE</t>
  </si>
  <si>
    <t>OTG_ENABLE_IC_USB</t>
  </si>
  <si>
    <t>OTG_ULPI_CARKIT</t>
  </si>
  <si>
    <t>OTG_ADP_SUPPORT</t>
  </si>
  <si>
    <t>OTG_BC_SUPPORT</t>
  </si>
  <si>
    <t>OTG_VENDOR_CTL_INTERFACE</t>
  </si>
  <si>
    <t>OTG_NUM_EPS</t>
  </si>
  <si>
    <t>OTG_NUM_CRL_EPS</t>
  </si>
  <si>
    <t>OTG_NUM_IN_EPS</t>
  </si>
  <si>
    <t>OTG_NUM_HOST_CHAN</t>
  </si>
  <si>
    <t>OTG_EN_PERIO_HOST</t>
  </si>
  <si>
    <t>OTG_DFIFO_DEPTH</t>
  </si>
  <si>
    <t>OTG_DFIFO_DYNAMIC</t>
  </si>
  <si>
    <t>OTG_RX_DFIFO_DEPTH</t>
  </si>
  <si>
    <t>OTG_TX_HNPERIO_DFIFO_DEPTH</t>
  </si>
  <si>
    <t>OTG_TX_HPERIO_DFIFO_DEPTH</t>
  </si>
  <si>
    <t>OTG_NPERIO_TX_QUEUE_DEPTH</t>
  </si>
  <si>
    <t>OTG_PERIO_TX_QUEUE_DEPTH</t>
  </si>
  <si>
    <t>OTG_TRANS_COUNT_WIDTH</t>
  </si>
  <si>
    <t>OTG_PACKET_COUNT_WIDTH</t>
  </si>
  <si>
    <t>OTG_RM_OPT_FEATURES</t>
  </si>
  <si>
    <t>OTG_EN_PWROPT</t>
  </si>
  <si>
    <t>OTG_SYNC_RESET_TYPE</t>
  </si>
  <si>
    <t>OTG_INST_DSYNC_FLOPS</t>
  </si>
  <si>
    <t>OTG_EN_IDDIG_FILTER</t>
  </si>
  <si>
    <t>OTG_EN_VBUSVALID_FILTER</t>
  </si>
  <si>
    <t>OTG_EN_A_VALID_FILTER</t>
  </si>
  <si>
    <t>OTG_EN_B_VALID_FILTER</t>
  </si>
  <si>
    <t>OTG_EN_SESSIONEND_FILTER</t>
  </si>
  <si>
    <t>OTG_EP_DIR_n</t>
  </si>
  <si>
    <t>OTG_TX_DINEP_DFIFO_DEPTH_0</t>
  </si>
  <si>
    <t>Value</t>
  </si>
  <si>
    <t>TxDolby</t>
  </si>
  <si>
    <t>TxStereo</t>
  </si>
  <si>
    <t>RxDolby</t>
  </si>
  <si>
    <t>RxStereo</t>
  </si>
  <si>
    <t>CARD_TYPE</t>
  </si>
  <si>
    <t>NUM_CARDS</t>
  </si>
  <si>
    <t>H_BUS_TYPE</t>
  </si>
  <si>
    <t>H_DATA_WIDTH</t>
  </si>
  <si>
    <t>H_ADDR_WIDTH</t>
  </si>
  <si>
    <t>INTERNAL_DMAC</t>
  </si>
  <si>
    <t>FIFO_DEPTH</t>
  </si>
  <si>
    <t>FIFO_RAM_INSIDE</t>
  </si>
  <si>
    <t>NUM_CLK_DIVIDERS</t>
  </si>
  <si>
    <t>UID_REG</t>
  </si>
  <si>
    <t>SET_CLK_FALSE_PATH</t>
  </si>
  <si>
    <t>AREA_OPTIMIZED</t>
  </si>
  <si>
    <t>IMPLEMENT_SCAN_MUX</t>
  </si>
  <si>
    <t>APB_DATA_WIDTH</t>
  </si>
  <si>
    <t>FIFO_MODE</t>
  </si>
  <si>
    <t>MEM_SELECT_USER</t>
  </si>
  <si>
    <t>CLOCK_MODE</t>
  </si>
  <si>
    <t>AFCE_MODE</t>
  </si>
  <si>
    <t>THRE_MODE_USER</t>
  </si>
  <si>
    <t>SIR_MODE</t>
  </si>
  <si>
    <t>CLK_GATE_EN</t>
  </si>
  <si>
    <t>FIFO_ACCESS</t>
  </si>
  <si>
    <t>DMA_EXTRA</t>
  </si>
  <si>
    <t>For connecting to the DesignWare DMA controller</t>
  </si>
  <si>
    <t>DMA_POL</t>
  </si>
  <si>
    <t>SIR_LP_MODE</t>
  </si>
  <si>
    <t>SIR_LP_RX</t>
  </si>
  <si>
    <t>DEBUG</t>
  </si>
  <si>
    <t>BAUD_CLK</t>
  </si>
  <si>
    <t>ADDITIONAL_FEATURES</t>
  </si>
  <si>
    <t>FIFO_STAT</t>
  </si>
  <si>
    <t>SHADOW</t>
  </si>
  <si>
    <t>UART_ADD_ENCODED_PARAMS</t>
  </si>
  <si>
    <t>UART_16550_COMPATIBLE</t>
  </si>
  <si>
    <t>USE_FOUNDATION</t>
  </si>
  <si>
    <t>ICT_FORCEREG_ACTIVE_HIGH</t>
  </si>
  <si>
    <t>ICT_INT_POL</t>
  </si>
  <si>
    <t>ICT_HAS_PFLT</t>
  </si>
  <si>
    <t>ICT_READ_PRIORITY</t>
  </si>
  <si>
    <t>ICT_HC_PRIORITIES</t>
  </si>
  <si>
    <t>ICT_HAS_VECTOR</t>
  </si>
  <si>
    <t>ICT_HAS_DEFAULT_VECTOR</t>
  </si>
  <si>
    <t>ICT_IRQ_NUM</t>
  </si>
  <si>
    <t>ICT_IRQSRC_POL_TYPE</t>
  </si>
  <si>
    <t>ICT_IRQ_DFLT_EN</t>
  </si>
  <si>
    <t>Install Fast Interrupt Generation?</t>
  </si>
  <si>
    <t>No FIQ</t>
  </si>
  <si>
    <t>ICT_HAS_FIQ</t>
  </si>
  <si>
    <t>ICT_IRQ_PLEVEL</t>
  </si>
  <si>
    <t>ICT_ISRC_PLEVEL_n</t>
  </si>
  <si>
    <t>ICT_VECTOR_n</t>
  </si>
  <si>
    <t>ICT_HC_VECTOR_n</t>
  </si>
  <si>
    <t>ICT_VECTOR_DEFAULT</t>
  </si>
  <si>
    <t>CT_HC_VECTOR_DEFAULT</t>
  </si>
  <si>
    <t>ICT_IRQSRC_POL_n</t>
  </si>
  <si>
    <t>SSI_IS_MASTER</t>
  </si>
  <si>
    <t>SSI_RX_FIFO_DEPTH</t>
  </si>
  <si>
    <t>SSI_TX_FIFO_DEPTH</t>
  </si>
  <si>
    <t>SSI_NUM_SLAVES</t>
  </si>
  <si>
    <t>SSI_ID</t>
  </si>
  <si>
    <t>base+2*n</t>
  </si>
  <si>
    <t>SSI_HAS_RX_SAMPLE_DELAY</t>
  </si>
  <si>
    <t>SSI_RX_DLY_SR_DEPTH</t>
  </si>
  <si>
    <t>SSI_HAS_DMA</t>
  </si>
  <si>
    <t>SSI_INTR_IO</t>
  </si>
  <si>
    <t>SSI_INTR_POL</t>
  </si>
  <si>
    <t>SSI_SYNC_CLK</t>
  </si>
  <si>
    <t>SSI_CLK_EN_MODE</t>
  </si>
  <si>
    <t>SSI_HC_FRF</t>
  </si>
  <si>
    <t>SSI_DFLT_FRF</t>
  </si>
  <si>
    <t>SSI_DFLT_SCPOL</t>
  </si>
  <si>
    <t>SSI_DFLT_SCPH</t>
  </si>
  <si>
    <t>IC_MAX_SPEED_MODE</t>
  </si>
  <si>
    <t>IC_DEFAULT_SLAVE_ADDR</t>
  </si>
  <si>
    <t>Has I2C default target slave address of?</t>
  </si>
  <si>
    <t>IC_DEFAULT_TAR_SLAVE_ADDR</t>
  </si>
  <si>
    <t>IC_HS_MASTER_CODE</t>
  </si>
  <si>
    <t>IC_MASTER_MODE</t>
  </si>
  <si>
    <t>IC_SLAVE_DISABLE</t>
  </si>
  <si>
    <t>IC_10BITADDR_MASTER</t>
  </si>
  <si>
    <t>IC_10BITADDR_SLAVE</t>
  </si>
  <si>
    <t>IC_TX_BUFFER_DEPTH</t>
  </si>
  <si>
    <t>IC_RX_BUFFER_DEPTH</t>
  </si>
  <si>
    <t>IC_TX_TL</t>
  </si>
  <si>
    <t>IC_RX_TL</t>
  </si>
  <si>
    <t>IC_RESTART_EN</t>
  </si>
  <si>
    <t>IC_DEFAULT_SDA_SETUP</t>
  </si>
  <si>
    <t>IC_DEFAULT_SDA_HOLD</t>
  </si>
  <si>
    <t>IC_DEFAULT_ACK_GENERAL_CALL</t>
  </si>
  <si>
    <t>IC_HAS_DMA</t>
  </si>
  <si>
    <t>IC_INTR_IO</t>
  </si>
  <si>
    <t>IC_INTR_POL</t>
  </si>
  <si>
    <t>IC_ADD_ENCODED_PARAMS</t>
  </si>
  <si>
    <t>IC_USE_COUNTS</t>
  </si>
  <si>
    <t>IC_HC_COUNT_VALUES</t>
  </si>
  <si>
    <t>Relationship between pclk and ic_clk is?</t>
  </si>
  <si>
    <t>IC_CLK_TYPE</t>
  </si>
  <si>
    <t>IC_SS_SCL_HIGH_COUNT</t>
  </si>
  <si>
    <t>IC_SS_SCL_LOW_COUNT</t>
  </si>
  <si>
    <t>IC_FS_SCL_HIGH_COUNT</t>
  </si>
  <si>
    <t>IC_FS_SCL_LOW_COUNT</t>
  </si>
  <si>
    <t>IC_CAP_LOADING</t>
  </si>
  <si>
    <t>IC_HS_SCL_HIGH_COUNT</t>
  </si>
  <si>
    <t>IC_HS_SCL_LOW_COUNT</t>
  </si>
  <si>
    <t>I2C_DYNAMIC_TAR_UPDATE</t>
  </si>
  <si>
    <t>Enable register to generate NACKs for data received by Slave?</t>
  </si>
  <si>
    <t>IC_SLV_DATA_NACK_ONLY</t>
  </si>
  <si>
    <t>Hold transfer when Tx FIFO is empty?</t>
  </si>
  <si>
    <t>IC_EMPTYFIFO_HOLD_MASTER_EN</t>
  </si>
  <si>
    <t>Has High Speed mode master code of?</t>
  </si>
  <si>
    <t>Supports 10-bit addressing in master mode?</t>
  </si>
  <si>
    <t>Supports 10-bit addressing in slave mode?</t>
  </si>
  <si>
    <t>Allow restart conditions to be sent when acting as a master?</t>
  </si>
  <si>
    <t>Hardware reset value for IC_SDA_SETUP register</t>
  </si>
  <si>
    <t>Hardware reset value for IC_SDA_HOLD register</t>
  </si>
  <si>
    <t>IC_ACK_GENERAL_CALL set to acknowledge I2C general calls on reset</t>
  </si>
  <si>
    <t>Specify clock counts directly instead of supplying clock frequency?</t>
  </si>
  <si>
    <t>Hard code the count values for each mode?</t>
  </si>
  <si>
    <t>For high speed mode systems the I2C bus loading is? (pF)</t>
  </si>
  <si>
    <t>Allow dynamic updating of the TAR address?</t>
  </si>
  <si>
    <t>I2S_RECEIVER_BLOCK</t>
  </si>
  <si>
    <t>I2S_RX_CHANNELS</t>
  </si>
  <si>
    <t>I2S_TRANSMITTER_BLOCK</t>
  </si>
  <si>
    <t>I2S_TX_CHANNELS</t>
  </si>
  <si>
    <t>I2S_MODE_EN</t>
  </si>
  <si>
    <t>I2S_FIFO_DEPTH_GLOBAL</t>
  </si>
  <si>
    <t>I2S_WS_LENGTH</t>
  </si>
  <si>
    <t>I2S_SCLK_GATE</t>
  </si>
  <si>
    <t>I2S_INTERRUPT_SIGNALS</t>
  </si>
  <si>
    <t>I2S_INTR_POL</t>
  </si>
  <si>
    <t>I2S_SYNC_DEPTH</t>
  </si>
  <si>
    <t>I2S_RX_DMA</t>
  </si>
  <si>
    <t>I2S_RX_FIFO_x</t>
  </si>
  <si>
    <t>I2S_RX_FIFO_THRE_x</t>
  </si>
  <si>
    <t>I2S_RX_WORDSIZE_x</t>
  </si>
  <si>
    <t>I2S_TX_DMA</t>
  </si>
  <si>
    <t>I2S_TX_WORDSIZE_x</t>
  </si>
  <si>
    <t>I2S_TX_FIFO_x</t>
  </si>
  <si>
    <t>I2S_TX_FIFO_THRE_x</t>
  </si>
  <si>
    <t>RTC_FREE_PCLK</t>
  </si>
  <si>
    <t>RTC_EN_MODE</t>
  </si>
  <si>
    <t>RTC_CNT_WIDTH</t>
  </si>
  <si>
    <t>RTC_CLK_EN</t>
  </si>
  <si>
    <t>RTC_CLK_TYPE</t>
  </si>
  <si>
    <t>RTC_WRAP_MODE</t>
  </si>
  <si>
    <t>RTC_WRAP_2_ZERO</t>
  </si>
  <si>
    <t>RTC_INT_LOC</t>
  </si>
  <si>
    <t>RTC_INT_POL</t>
  </si>
  <si>
    <t>DMAH_NUM_MASTER_INT</t>
  </si>
  <si>
    <t>DMAH_NUM_CHANNELS</t>
  </si>
  <si>
    <t>DMAH_NUM_HS_INT</t>
  </si>
  <si>
    <t>DMAH_ID_NUM</t>
  </si>
  <si>
    <t>DMAH_INTR_POL</t>
  </si>
  <si>
    <t>DMAH_INTR_IO</t>
  </si>
  <si>
    <t>DMAH_INCR_BURSTS</t>
  </si>
  <si>
    <t>DMAH_MABRST</t>
  </si>
  <si>
    <t>DMAH_RETURN_ERR_RESP</t>
  </si>
  <si>
    <t>DMAH_ADD_ENCODED_PARAMS</t>
  </si>
  <si>
    <t>DMAH_STATIC_ENDIAN_SELECT</t>
  </si>
  <si>
    <t>DMAH_BIG_ENDIAN</t>
  </si>
  <si>
    <t>DMAH_S_HDATA_WIDTH</t>
  </si>
  <si>
    <t>DMAH_M1_AHB_LITE</t>
  </si>
  <si>
    <t>DMAH_M1_HDATA_WIDTH</t>
  </si>
  <si>
    <t>DMAH_M2_AHB_LITE</t>
  </si>
  <si>
    <t>DMAH_M2_HDATA_WIDTH</t>
  </si>
  <si>
    <t>DMAH_CHx_FIFO_DEPTH</t>
  </si>
  <si>
    <t>DMAH_CHx_MAX_MULT_SIZE</t>
  </si>
  <si>
    <t>DMAH_CHx_MAX_BLK_SIZE</t>
  </si>
  <si>
    <t>DMAH_CHx_FC</t>
  </si>
  <si>
    <t>DMAH_CHx_LOCK_EN</t>
  </si>
  <si>
    <t>DMAH_CHx_SMS</t>
  </si>
  <si>
    <t>DMAH_CHx_DMS</t>
  </si>
  <si>
    <t>DMAH_CHx_STW</t>
  </si>
  <si>
    <t>DMAH_CHx_DTW</t>
  </si>
  <si>
    <t>DMAH_CHx_SRC_NON_OK</t>
  </si>
  <si>
    <t>DMAH_CHx_DST_NON_OK</t>
  </si>
  <si>
    <t>DMAH_CHx_MULTI_BLK_EN</t>
  </si>
  <si>
    <t>DMAH_CHx_MULTI_BLK_TYPE</t>
  </si>
  <si>
    <t>DMAH_CHx_HC_LLP</t>
  </si>
  <si>
    <t>DMAH_CHx_STAT_DST</t>
  </si>
  <si>
    <t>DMAH_CHx_STAT_SRC</t>
  </si>
  <si>
    <t>DMAH_CHx_LMS</t>
  </si>
  <si>
    <t>DMAH_CHx_LLP_NON_OK</t>
  </si>
  <si>
    <t>DMAH_CHx_SRC_GAT_EN</t>
  </si>
  <si>
    <t>DMAH_CHx_DST_SCA_EN</t>
  </si>
  <si>
    <t>DMAH_CHx_CTL_WB_EN</t>
  </si>
  <si>
    <t>WDT Counter Width</t>
  </si>
  <si>
    <t>32b watchdog timer</t>
  </si>
  <si>
    <t>WDT_CNT_WIDTH</t>
  </si>
  <si>
    <t>Enable WDT from reset?</t>
  </si>
  <si>
    <t>Needs OS to function correctly</t>
  </si>
  <si>
    <t>WDT_ALWAYS_EN</t>
  </si>
  <si>
    <t>Active High Interrupt Polarity?</t>
  </si>
  <si>
    <t>Interrupt active low</t>
  </si>
  <si>
    <t>WDT_INT_POL</t>
  </si>
  <si>
    <t>Active high reset polarity?</t>
  </si>
  <si>
    <t>Active low reset</t>
  </si>
  <si>
    <t>WDT_RST_POL</t>
  </si>
  <si>
    <t>WDT_HC_RPL</t>
  </si>
  <si>
    <t>Hard code reset pulse length?</t>
  </si>
  <si>
    <t>Default reset pulse length</t>
  </si>
  <si>
    <t>Reset of 256 cycles</t>
  </si>
  <si>
    <t>WDT_DFLT_RPL</t>
  </si>
  <si>
    <t>No hard coded output response</t>
  </si>
  <si>
    <t>WDT_HC_RMOD</t>
  </si>
  <si>
    <t>WDT_DFLT_RMOD</t>
  </si>
  <si>
    <t>Interrupt and system reset</t>
  </si>
  <si>
    <t>int&amp;reset</t>
  </si>
  <si>
    <t>No clock enable</t>
  </si>
  <si>
    <t>WDT_CLK_EN</t>
  </si>
  <si>
    <t>WDT_PAUSE</t>
  </si>
  <si>
    <t>WDT_HC_TOP</t>
  </si>
  <si>
    <t>WDT_USE_FIX_TOP</t>
  </si>
  <si>
    <t>WDT_DFLT_TOP</t>
  </si>
  <si>
    <t>WDT_USER_TOP</t>
  </si>
  <si>
    <t>0xffffffff</t>
  </si>
  <si>
    <t>WDT_DUAL_TOP</t>
  </si>
  <si>
    <t>Main timeout period range to be selected as default?</t>
  </si>
  <si>
    <t>User defined main timeout period for range 0 to 15</t>
  </si>
  <si>
    <t>Include a second timeout period for initialization?</t>
  </si>
  <si>
    <t>Use predefined timeout period ranges?</t>
  </si>
  <si>
    <t>Hard code timeout period range selection?</t>
  </si>
  <si>
    <t>Include pause enable input on I/F?</t>
  </si>
  <si>
    <t>Include WDT counter clock enable input on I/F?</t>
  </si>
  <si>
    <t>Output response mode default value</t>
  </si>
  <si>
    <t>Hard code output response mode?</t>
  </si>
  <si>
    <t>SDRAM Data Width</t>
  </si>
  <si>
    <t>DDR_NUMBITS</t>
  </si>
  <si>
    <t>SDRAM Address Width</t>
  </si>
  <si>
    <t>Interface will be 16 bits data</t>
  </si>
  <si>
    <t>Interface will be 16 bits address</t>
  </si>
  <si>
    <t>DDR_ADDR_WIDTH</t>
  </si>
  <si>
    <t>Number of Ranks</t>
  </si>
  <si>
    <t>Only one rank</t>
  </si>
  <si>
    <t>DDR_NUMRANKS</t>
  </si>
  <si>
    <t>DDR_ECC_EN</t>
  </si>
  <si>
    <t>No error correction</t>
  </si>
  <si>
    <t>Error Correction Code</t>
  </si>
  <si>
    <t>Define Configuration Port</t>
  </si>
  <si>
    <t>AXI</t>
  </si>
  <si>
    <t>AXI configuration port</t>
  </si>
  <si>
    <t>DDR_TYPE_CFG</t>
  </si>
  <si>
    <t>Configuration Port ID Width</t>
  </si>
  <si>
    <t>8 AXI ID bits</t>
  </si>
  <si>
    <t>DDR_CFG_ID_WIDTH</t>
  </si>
  <si>
    <t>Number of Host Ports</t>
  </si>
  <si>
    <t>Require 4 AXI data ports</t>
  </si>
  <si>
    <t>DDR_NUMHPORTS</t>
  </si>
  <si>
    <t>Host Port Cmd Tag Width</t>
  </si>
  <si>
    <t>DDR_TAG_WIDTH</t>
  </si>
  <si>
    <t>Define Host Port N</t>
  </si>
  <si>
    <t>DDR_TYPE_XBI_N</t>
  </si>
  <si>
    <t>XBI Synchronous Host</t>
  </si>
  <si>
    <t>Async</t>
  </si>
  <si>
    <t>Ports are async to DDR</t>
  </si>
  <si>
    <t>DDR_XBI_SYNC_N</t>
  </si>
  <si>
    <t>AXI Write Buffer Depth</t>
  </si>
  <si>
    <t>DDR_AXI_WRITE_BUFFER_DEPTH_N</t>
  </si>
  <si>
    <t>AXI Read Response Buffer Depth</t>
  </si>
  <si>
    <t>DDR_AXI_READ_RESP_BUFFER_DEPTH_N</t>
  </si>
  <si>
    <t>AXI Write Response Buffer Depth</t>
  </si>
  <si>
    <t>DDR_AXI_WRITE_RESP_BUFFER_DEPTH_N</t>
  </si>
  <si>
    <t>AXI Request Queue Pipeline</t>
  </si>
  <si>
    <t>DDR_AXI_PIPE_N</t>
  </si>
  <si>
    <t>Number of Priority Queues</t>
  </si>
  <si>
    <t>DDR_NUMPRIORITYQ</t>
  </si>
  <si>
    <t>One priority queue</t>
  </si>
  <si>
    <t>Priority Queue Depth</t>
  </si>
  <si>
    <t>DDR_PQ_DEPTH</t>
  </si>
  <si>
    <t>Command Queue Depth</t>
  </si>
  <si>
    <t>DDR_CMDQ_DEPTH</t>
  </si>
  <si>
    <t>Command Queue Latency</t>
  </si>
  <si>
    <t>DDR_CMDQ_LAT</t>
  </si>
  <si>
    <t>Reorder Buffer Depth</t>
  </si>
  <si>
    <t>DDR_REORDER_DEPTH</t>
  </si>
  <si>
    <t>MMU Output Pipeline</t>
  </si>
  <si>
    <t>DDR_MMU_PIPE</t>
  </si>
  <si>
    <t>Disable Dynamic RTT</t>
  </si>
  <si>
    <t>DDR_NO_RTT_CTL</t>
  </si>
  <si>
    <t>Master DLL Lock Time</t>
  </si>
  <si>
    <t>DDR_DLL_WAIT</t>
  </si>
  <si>
    <t>DDR Init Wait Time</t>
  </si>
  <si>
    <t>DDR_INIT_WAIT</t>
  </si>
  <si>
    <t>CKE Wait Time</t>
  </si>
  <si>
    <t>DDR_CKE_WAIT</t>
  </si>
  <si>
    <t>Synopsys PHY Type</t>
  </si>
  <si>
    <t>MDDR23L_TSMC_40LP25</t>
  </si>
  <si>
    <t>LPDDR 40nm</t>
  </si>
  <si>
    <t>DDR_SNPS_PHY_TYPE</t>
  </si>
  <si>
    <t>DLLCR Register Default</t>
  </si>
  <si>
    <t>DDR_DLLCR_DEFAULT</t>
  </si>
  <si>
    <t>DLLCRN Register Default</t>
  </si>
  <si>
    <t>DDR_DLLCRN_DEFAULT</t>
  </si>
  <si>
    <t>Number of CK Pairs</t>
  </si>
  <si>
    <t>1 sufficient for reference design</t>
  </si>
  <si>
    <t>DDR_NUMCK</t>
  </si>
  <si>
    <t>0x03737000</t>
  </si>
  <si>
    <t>Use SNPS PHY</t>
  </si>
  <si>
    <t>Keep PHY as external component</t>
  </si>
  <si>
    <t>DSI_HOST_SNPS_PHY</t>
  </si>
  <si>
    <t>DSI_HOST_DFLT_F_SYNC_TYPE</t>
  </si>
  <si>
    <t>Select the number of interrupt pin</t>
  </si>
  <si>
    <t>One interrupt only</t>
  </si>
  <si>
    <t>DSI_N_INTERRUPT_PINS</t>
  </si>
  <si>
    <t>Number of lanes supported by DPHY</t>
  </si>
  <si>
    <t>Only 2 lanes required</t>
  </si>
  <si>
    <t>DSI_HOST_NUMBER_OF_LANES</t>
  </si>
  <si>
    <t>Only pixel interface required</t>
  </si>
  <si>
    <t>DSI_DATAINTERFACE</t>
  </si>
  <si>
    <t>Support for Generic Packets</t>
  </si>
  <si>
    <t>DSI_GENERIC</t>
  </si>
  <si>
    <t>DPI Payload Asynchronous RAM</t>
  </si>
  <si>
    <t>RAM size</t>
  </si>
  <si>
    <t>DSI_PIXELMEMADDRDEPTH</t>
  </si>
  <si>
    <t>Generic Command FIFO</t>
  </si>
  <si>
    <t>DSI_GENERICCMDADDRDEPTH</t>
  </si>
  <si>
    <t>DSI_GENERICPLDADDRDEPTH</t>
  </si>
  <si>
    <t>Generic Read Asynchronous RAM</t>
  </si>
  <si>
    <t>DSI_GENREADPLDADDRDEPTH</t>
  </si>
  <si>
    <t>Default value for the number of synchronizers</t>
  </si>
  <si>
    <t>Select if you are using DBI or DPI System interfaces</t>
  </si>
  <si>
    <t>Generic Payload Asynchronous RAM</t>
  </si>
  <si>
    <t>Clock name</t>
  </si>
  <si>
    <t>Description</t>
  </si>
  <si>
    <t>arc_core_clk</t>
  </si>
  <si>
    <t>Relation</t>
  </si>
  <si>
    <t>axi_bb_clk</t>
  </si>
  <si>
    <t>arc_jtag_clk</t>
  </si>
  <si>
    <t>ARC750D CPU</t>
  </si>
  <si>
    <t>clock/reset module</t>
  </si>
  <si>
    <t>ARC750D CPU core clock</t>
  </si>
  <si>
    <t>Destination</t>
  </si>
  <si>
    <t>Source</t>
  </si>
  <si>
    <t>AXI backbone bus clock</t>
  </si>
  <si>
    <t>AXI backbone bus and all IPS connected to the bus</t>
  </si>
  <si>
    <t>none</t>
  </si>
  <si>
    <t>JTAG probe</t>
  </si>
  <si>
    <t>JTAG debug clock</t>
  </si>
  <si>
    <t>ahb_conn_clk</t>
  </si>
  <si>
    <t>ahb_rt_clk</t>
  </si>
  <si>
    <t>Connectivity AHB bus and all Ips connected to the bus</t>
  </si>
  <si>
    <t>Real-time AHB bus and all Ips connected to the bus</t>
  </si>
  <si>
    <t>Real-time AHB bus clock</t>
  </si>
  <si>
    <t>166MHZ</t>
  </si>
  <si>
    <t>800MHz</t>
  </si>
  <si>
    <t>Max frequency (40nm lp)</t>
  </si>
  <si>
    <t>400 MHZ</t>
  </si>
  <si>
    <t>40MHz</t>
  </si>
  <si>
    <t>USB host PHY</t>
  </si>
  <si>
    <t>USB host core</t>
  </si>
  <si>
    <t>Clock from host USB core to PHY</t>
  </si>
  <si>
    <t>Clock from UTMI+ PHY to host</t>
  </si>
  <si>
    <t>Clock from ULPI PHY to host</t>
  </si>
  <si>
    <t>USB device core</t>
  </si>
  <si>
    <t>USB device PHY</t>
  </si>
  <si>
    <t>Clock from UTMI+ PHY to device</t>
  </si>
  <si>
    <t>Clock from ULPI PHY to device</t>
  </si>
  <si>
    <t>dsi_dis_clk</t>
  </si>
  <si>
    <t>DSI PGU</t>
  </si>
  <si>
    <t>Display clock from pixel graphics unit</t>
  </si>
  <si>
    <t>dsi_pix_clk</t>
  </si>
  <si>
    <t>PGU</t>
  </si>
  <si>
    <t>DSI host</t>
  </si>
  <si>
    <t>divide by 2 of dsi_dis_clk</t>
  </si>
  <si>
    <t>Pixel clock between PGU and DSI DPI (requires testclock mux for DfT?)</t>
  </si>
  <si>
    <t>dsi_dpi_pixel_wclk</t>
  </si>
  <si>
    <t>dsi_dpi_pixel_rclk</t>
  </si>
  <si>
    <t>DSI</t>
  </si>
  <si>
    <t>async RAM</t>
  </si>
  <si>
    <t>Clock for 2port async RAM on DPI</t>
  </si>
  <si>
    <t>dsi_generic_pld_wclk</t>
  </si>
  <si>
    <t>Clock for 2port async RAM for generic I/F</t>
  </si>
  <si>
    <t>dsi_generic_pld_rclk</t>
  </si>
  <si>
    <t>dsi_generic_read_wclk</t>
  </si>
  <si>
    <t>dsi_generic_read_rclk</t>
  </si>
  <si>
    <t>MIPI DPHY</t>
  </si>
  <si>
    <t>125MHz</t>
  </si>
  <si>
    <t>DSI DPHY clock</t>
  </si>
  <si>
    <t>DPHY return clock for Tx</t>
  </si>
  <si>
    <t>DPHY test clock</t>
  </si>
  <si>
    <t>60MHz</t>
  </si>
  <si>
    <t>Connectivity AHB bus clock. Needs to be &gt; 30MHz for USB</t>
  </si>
  <si>
    <t>100MHz</t>
  </si>
  <si>
    <t>50MHz</t>
  </si>
  <si>
    <t>SDIO IP</t>
  </si>
  <si>
    <t>Clock used to derived card clock</t>
  </si>
  <si>
    <t>sdio_cclk_in</t>
  </si>
  <si>
    <t>sdio_cclk_in_sample</t>
  </si>
  <si>
    <t>pad</t>
  </si>
  <si>
    <t>104MHz</t>
  </si>
  <si>
    <t>52MHz</t>
  </si>
  <si>
    <t>Feedback clock from SDIO clock pad (delayed input clock)</t>
  </si>
  <si>
    <t>sdio_cclk_in_drv</t>
  </si>
  <si>
    <t>sdio_cclk_out</t>
  </si>
  <si>
    <t>Clock to SDIO card</t>
  </si>
  <si>
    <t>uart0_sclk</t>
  </si>
  <si>
    <t>UART0</t>
  </si>
  <si>
    <t>1MHz</t>
  </si>
  <si>
    <t>UART0 serial clock</t>
  </si>
  <si>
    <t>UART0 baudclock output</t>
  </si>
  <si>
    <t>uart1_sclk</t>
  </si>
  <si>
    <t>uart2_sclk</t>
  </si>
  <si>
    <t>uart3_sclk</t>
  </si>
  <si>
    <t>UART1</t>
  </si>
  <si>
    <t>UART2</t>
  </si>
  <si>
    <t>UART3</t>
  </si>
  <si>
    <t>UART1 serial clock</t>
  </si>
  <si>
    <t>UART1 baudclock output</t>
  </si>
  <si>
    <t>UART2 serial clock</t>
  </si>
  <si>
    <t>UART2 baudclock output</t>
  </si>
  <si>
    <t>UART3 serial clock</t>
  </si>
  <si>
    <t>UART3 baudclock output</t>
  </si>
  <si>
    <t>No rationale</t>
  </si>
  <si>
    <t>spi0_ssi_clk</t>
  </si>
  <si>
    <t>SPI0</t>
  </si>
  <si>
    <t>spi1_ssi_clk</t>
  </si>
  <si>
    <t>spi2_ssi_clk</t>
  </si>
  <si>
    <t>spi3_ssi_clk</t>
  </si>
  <si>
    <t>SPI3</t>
  </si>
  <si>
    <t>SPI2</t>
  </si>
  <si>
    <t>SPI1</t>
  </si>
  <si>
    <t>SPI0 serial clock source</t>
  </si>
  <si>
    <t>SPI0 serial clock to interface</t>
  </si>
  <si>
    <t>SPI1 serial clock source</t>
  </si>
  <si>
    <t>SPI1 serial clock to interface</t>
  </si>
  <si>
    <t>SPI2 serial clock source</t>
  </si>
  <si>
    <t>SPI2 serial clock to interface</t>
  </si>
  <si>
    <t>SPI3 serial clock source</t>
  </si>
  <si>
    <t>SPI3 serial clock to interface</t>
  </si>
  <si>
    <t>i2c0_ic_clk</t>
  </si>
  <si>
    <t>I2C0</t>
  </si>
  <si>
    <t>apb_bb_clk</t>
  </si>
  <si>
    <t>APB backbone bus and all Ips connected to the bus</t>
  </si>
  <si>
    <t>i2c1_ic_clk</t>
  </si>
  <si>
    <t>i2c2_ic_clk</t>
  </si>
  <si>
    <t>i2c3_ic_clk</t>
  </si>
  <si>
    <t>I2C1</t>
  </si>
  <si>
    <t>I2C2</t>
  </si>
  <si>
    <t>I2C3</t>
  </si>
  <si>
    <t>I2C1 core clock</t>
  </si>
  <si>
    <t>I2C2 core clock</t>
  </si>
  <si>
    <t>I2C3 core clock</t>
  </si>
  <si>
    <t>I2C0 core clock</t>
  </si>
  <si>
    <t>Separate RTC clock input</t>
  </si>
  <si>
    <t>rtc_clk</t>
  </si>
  <si>
    <t>RTC</t>
  </si>
  <si>
    <t>Real-time clock</t>
  </si>
  <si>
    <t>Bus clock for APB peripherals on backbone AXI2APB</t>
  </si>
  <si>
    <t>usbh2phy_phy_clk</t>
  </si>
  <si>
    <t>usbh2phy_utmi_clk</t>
  </si>
  <si>
    <t>usbh2phy_ulpi_clk</t>
  </si>
  <si>
    <t>usbd2phy_phy_clk</t>
  </si>
  <si>
    <t>usbd2phy_utmi_clk</t>
  </si>
  <si>
    <t>usbd2phy_ulpi_clk</t>
  </si>
  <si>
    <t>uart0_io_baudout_n</t>
  </si>
  <si>
    <t>uart1_io_baudout_n</t>
  </si>
  <si>
    <t>uart2_io_baudout_n</t>
  </si>
  <si>
    <t>uart3_io_baudout_n</t>
  </si>
  <si>
    <t>spi0_io_sclk_out</t>
  </si>
  <si>
    <t>spi1_io_sclk_out</t>
  </si>
  <si>
    <t>spi2_io_sclk_out</t>
  </si>
  <si>
    <t>spi3_io_sclk_out</t>
  </si>
  <si>
    <r>
      <t>F</t>
    </r>
    <r>
      <rPr>
        <sz val="9"/>
        <color theme="1"/>
        <rFont val="Calibri"/>
        <family val="2"/>
        <scheme val="minor"/>
      </rPr>
      <t>arc_core_clk</t>
    </r>
    <r>
      <rPr>
        <sz val="11"/>
        <color theme="1"/>
        <rFont val="Calibri"/>
        <family val="2"/>
        <scheme val="minor"/>
      </rPr>
      <t xml:space="preserve"> = N*F</t>
    </r>
    <r>
      <rPr>
        <sz val="9"/>
        <color theme="1"/>
        <rFont val="Calibri"/>
        <family val="2"/>
        <scheme val="minor"/>
      </rPr>
      <t>axi_bb_clk</t>
    </r>
    <r>
      <rPr>
        <sz val="11"/>
        <color theme="1"/>
        <rFont val="Calibri"/>
        <family val="2"/>
        <scheme val="minor"/>
      </rPr>
      <t>, phase aligned</t>
    </r>
  </si>
  <si>
    <r>
      <t>F</t>
    </r>
    <r>
      <rPr>
        <sz val="9"/>
        <color theme="1"/>
        <rFont val="Calibri"/>
        <family val="2"/>
        <scheme val="minor"/>
      </rPr>
      <t>i2c0_ic_clk</t>
    </r>
    <r>
      <rPr>
        <sz val="11"/>
        <color theme="1"/>
        <rFont val="Calibri"/>
        <family val="2"/>
        <scheme val="minor"/>
      </rPr>
      <t>&gt;F</t>
    </r>
    <r>
      <rPr>
        <sz val="9"/>
        <color theme="1"/>
        <rFont val="Calibri"/>
        <family val="2"/>
        <scheme val="minor"/>
      </rPr>
      <t>apb_bb_clk</t>
    </r>
  </si>
  <si>
    <r>
      <t>F</t>
    </r>
    <r>
      <rPr>
        <sz val="9"/>
        <color theme="1"/>
        <rFont val="Calibri"/>
        <family val="2"/>
        <scheme val="minor"/>
      </rPr>
      <t>i2c3_ic_clk</t>
    </r>
    <r>
      <rPr>
        <sz val="11"/>
        <color theme="1"/>
        <rFont val="Calibri"/>
        <family val="2"/>
        <scheme val="minor"/>
      </rPr>
      <t>&gt;F</t>
    </r>
    <r>
      <rPr>
        <sz val="9"/>
        <color theme="1"/>
        <rFont val="Calibri"/>
        <family val="2"/>
        <scheme val="minor"/>
      </rPr>
      <t>apb_bb_clk</t>
    </r>
  </si>
  <si>
    <r>
      <t>F</t>
    </r>
    <r>
      <rPr>
        <sz val="9"/>
        <color theme="1"/>
        <rFont val="Calibri"/>
        <family val="2"/>
        <scheme val="minor"/>
      </rPr>
      <t>i2c2_ic_clk</t>
    </r>
    <r>
      <rPr>
        <sz val="11"/>
        <color theme="1"/>
        <rFont val="Calibri"/>
        <family val="2"/>
        <scheme val="minor"/>
      </rPr>
      <t>&gt;F</t>
    </r>
    <r>
      <rPr>
        <sz val="9"/>
        <color theme="1"/>
        <rFont val="Calibri"/>
        <family val="2"/>
        <scheme val="minor"/>
      </rPr>
      <t>apb_bb_clk</t>
    </r>
  </si>
  <si>
    <r>
      <t>F</t>
    </r>
    <r>
      <rPr>
        <sz val="9"/>
        <color theme="1"/>
        <rFont val="Calibri"/>
        <family val="2"/>
        <scheme val="minor"/>
      </rPr>
      <t>i2c1_ic_clk</t>
    </r>
    <r>
      <rPr>
        <sz val="11"/>
        <color theme="1"/>
        <rFont val="Calibri"/>
        <family val="2"/>
        <scheme val="minor"/>
      </rPr>
      <t>&gt;F</t>
    </r>
    <r>
      <rPr>
        <sz val="9"/>
        <color theme="1"/>
        <rFont val="Calibri"/>
        <family val="2"/>
        <scheme val="minor"/>
      </rPr>
      <t>apb_bb_clk</t>
    </r>
  </si>
  <si>
    <t>free running version of apb_bb_clk, same phase/freq</t>
  </si>
  <si>
    <t>MCTL</t>
  </si>
  <si>
    <t>DDR controller clock</t>
  </si>
  <si>
    <t>200MHz</t>
  </si>
  <si>
    <t>DDR controller and PHY clock</t>
  </si>
  <si>
    <t>mctl_clk</t>
  </si>
  <si>
    <t>axi_ref_clk</t>
  </si>
  <si>
    <t>All buses and Ips connected to the buses in the reference design</t>
  </si>
  <si>
    <t>Clock for all peripherals in the reference design</t>
  </si>
  <si>
    <t>dsi2phy_lanebyte_clk</t>
  </si>
  <si>
    <t>dsi2phy_txblanebyte_clk</t>
  </si>
  <si>
    <t>dsi2phy_testclk</t>
  </si>
  <si>
    <t>GPIO_ADD_ENCODED_PARAMS</t>
  </si>
  <si>
    <t>32b APB bus</t>
  </si>
  <si>
    <t>Number of Ports</t>
  </si>
  <si>
    <t>Four ports</t>
  </si>
  <si>
    <t>GPIO_NUM_PORTS</t>
  </si>
  <si>
    <t>DW_apb_gpio ID</t>
  </si>
  <si>
    <t>exclude</t>
  </si>
  <si>
    <t>No ID</t>
  </si>
  <si>
    <t>GPIO_ID</t>
  </si>
  <si>
    <t>Port A Width</t>
  </si>
  <si>
    <t>8 I/Os</t>
  </si>
  <si>
    <t>Port A Auxilary H/W</t>
  </si>
  <si>
    <t>GPIO_PWIDTH_A</t>
  </si>
  <si>
    <t>No external HW controls</t>
  </si>
  <si>
    <t>GPIO_HW_PORTA</t>
  </si>
  <si>
    <t>GPIO_PORTA_SINGLE_CTL</t>
  </si>
  <si>
    <t>Allow control if individual bits</t>
  </si>
  <si>
    <t>Port A Default Direction</t>
  </si>
  <si>
    <t>GPIO_DFLT_DIR_A</t>
  </si>
  <si>
    <t>Port A Default Mode</t>
  </si>
  <si>
    <t>S/W</t>
  </si>
  <si>
    <t>GPIO_DFLT_SRC_A</t>
  </si>
  <si>
    <t>Software control</t>
  </si>
  <si>
    <t>Port A Debounce Logic</t>
  </si>
  <si>
    <t>Include debounce on port A</t>
  </si>
  <si>
    <t>GPIO_DEBOUNCE</t>
  </si>
  <si>
    <t>include</t>
  </si>
  <si>
    <t>Port A Interrupt</t>
  </si>
  <si>
    <t>Port A can be interrupt source</t>
  </si>
  <si>
    <t>GPIO_PORTA_INTR</t>
  </si>
  <si>
    <t>Port A Interrupt Polarity</t>
  </si>
  <si>
    <t>low</t>
  </si>
  <si>
    <t>Active low interrupts</t>
  </si>
  <si>
    <t>GPIO_INT_POL</t>
  </si>
  <si>
    <t>Single Interrupt Generated?</t>
  </si>
  <si>
    <t>One interrupt output only</t>
  </si>
  <si>
    <t>GPIO_INTR_IO</t>
  </si>
  <si>
    <t>No sync regs on read</t>
  </si>
  <si>
    <t>GPIO_PA_SYNC_EXT_DATA</t>
  </si>
  <si>
    <t>GPIO_SWPORTA_RESET</t>
  </si>
  <si>
    <t>Port A Interrupt Synchronization</t>
  </si>
  <si>
    <t>No interrupt sync</t>
  </si>
  <si>
    <t>GPIO_PA_SYNC_INTERRUPTS</t>
  </si>
  <si>
    <t>Port N Width</t>
  </si>
  <si>
    <t>Port N Auxilary H/W</t>
  </si>
  <si>
    <t>Port N Default Direction</t>
  </si>
  <si>
    <t>Port N Default Mode</t>
  </si>
  <si>
    <t>Port A Software Register Reset Value</t>
  </si>
  <si>
    <t>Port A Read Back Data Synchronization</t>
  </si>
  <si>
    <t>Port A controlled from single source?</t>
  </si>
  <si>
    <t>Port N controlled from single source?</t>
  </si>
  <si>
    <t>Port N Read Back Data Synchronization</t>
  </si>
  <si>
    <t>GPIO_PN_SYNC_EXT_DATA</t>
  </si>
  <si>
    <t>GPIO_DFLT_SRC_N</t>
  </si>
  <si>
    <t>GPIO_DFLT_DIR_N</t>
  </si>
  <si>
    <t>GPIO_PORTN_SINGLE_CTL</t>
  </si>
  <si>
    <t>GPIO_HW_PORTN</t>
  </si>
  <si>
    <t>GPIO_PWIDTH_N</t>
  </si>
  <si>
    <t>apb_bb_free_clk</t>
  </si>
  <si>
    <t>RTC/GPIO</t>
  </si>
  <si>
    <t>Clock APB free running clock for RTC and GPIO</t>
  </si>
  <si>
    <t>wdt_clk</t>
  </si>
  <si>
    <t>watchdog timer</t>
  </si>
  <si>
    <t>Watchdog timer always on clock</t>
  </si>
  <si>
    <t>Reset name</t>
  </si>
  <si>
    <t>main_rst_an</t>
  </si>
  <si>
    <t>usbh_rst_an</t>
  </si>
  <si>
    <t>usbd_rst_an</t>
  </si>
  <si>
    <t>dsi_rst_an</t>
  </si>
  <si>
    <t>Address bus width</t>
  </si>
  <si>
    <t>4G address space</t>
  </si>
  <si>
    <t>X2H_AXI_ADDR_WIDTH</t>
  </si>
  <si>
    <t>Data bus width</t>
  </si>
  <si>
    <t>X2H_AXI_DATA_WIDTH</t>
  </si>
  <si>
    <t>64b AXI interface</t>
  </si>
  <si>
    <t>AXI ID width</t>
  </si>
  <si>
    <t>8 bits IDS</t>
  </si>
  <si>
    <t>X2H_AXI_ID_WIDTH</t>
  </si>
  <si>
    <t>Write Interleaving Depth</t>
  </si>
  <si>
    <t>No write interleaving</t>
  </si>
  <si>
    <t>X2H_WRITE_INTERLEAVE_DEPTH</t>
  </si>
  <si>
    <t>Exclusive Address Depth</t>
  </si>
  <si>
    <t>No exclusive access across bridge</t>
  </si>
  <si>
    <t>X2H_EXCLUSIVE_ACCESS_DEPTH</t>
  </si>
  <si>
    <t>Data bus endianness</t>
  </si>
  <si>
    <t>little</t>
  </si>
  <si>
    <t>X2H_AXI_ENDIANNESS</t>
  </si>
  <si>
    <t>X2H_CLK_MODE</t>
  </si>
  <si>
    <t>Clocking mode</t>
  </si>
  <si>
    <t>Two asynchronous clocks</t>
  </si>
  <si>
    <t>No deep queue required</t>
  </si>
  <si>
    <t>X2H_CMD_QUEUE_DEPTH</t>
  </si>
  <si>
    <t>Write Data buffer depth</t>
  </si>
  <si>
    <t>X2H_WRITE_BUFFER_DEPTH</t>
  </si>
  <si>
    <t>X2H_WRITE_RESP_BUFFER_DEPTH</t>
  </si>
  <si>
    <t>Read Data buffer depth</t>
  </si>
  <si>
    <t>X2H_READ_BUFFER_DEPTH</t>
  </si>
  <si>
    <t>X2H_AHB_ADDR_WIDTH</t>
  </si>
  <si>
    <t>32b AHB data</t>
  </si>
  <si>
    <t>X2H_AHB_DATA_WIDTH</t>
  </si>
  <si>
    <t>AHB-Lite</t>
  </si>
  <si>
    <t>AHB lite only</t>
  </si>
  <si>
    <t>X2H_AHB_LITE</t>
  </si>
  <si>
    <t>Pass AXI Lock to AHB</t>
  </si>
  <si>
    <t>X2H_PASS_LOCK</t>
  </si>
  <si>
    <t>Do not pass lock, not required</t>
  </si>
  <si>
    <t>Prohibit AHB INCR bursts</t>
  </si>
  <si>
    <t>Do not prohibit INCR transfers</t>
  </si>
  <si>
    <t>X2H_USE_DEFINED_ONLY</t>
  </si>
  <si>
    <t>AHB side pipelining modes</t>
  </si>
  <si>
    <t>X2H_AHB_BUFFER_POP_MODE</t>
  </si>
  <si>
    <t>No high frequency</t>
  </si>
  <si>
    <t>AHB Data bus endianness</t>
  </si>
  <si>
    <t>X2H_AHB_ENDIANNESS</t>
  </si>
  <si>
    <t>X2H_LOWPWR_HS_IF</t>
  </si>
  <si>
    <t>No low power interface</t>
  </si>
  <si>
    <t>Write Response buffer depth</t>
  </si>
  <si>
    <t>Low Power Interface Enable</t>
  </si>
  <si>
    <t>Common Command Queue depth</t>
  </si>
  <si>
    <t>axi2ahb (x2h)</t>
  </si>
  <si>
    <t>ahb2axi (hmx)</t>
  </si>
  <si>
    <t>AHB Address Width</t>
  </si>
  <si>
    <t>HMX_ADDR_WIDTH</t>
  </si>
  <si>
    <t>AHB Data Width</t>
  </si>
  <si>
    <t>32b AHB datawidth</t>
  </si>
  <si>
    <t>HMX_DATA_WIDTH</t>
  </si>
  <si>
    <t>AHB is Big Endian</t>
  </si>
  <si>
    <t>HMX_ENDIAN_AHB</t>
  </si>
  <si>
    <t>AXI Address Width</t>
  </si>
  <si>
    <t>64b AXI datawidth</t>
  </si>
  <si>
    <t>AXI  Data Width</t>
  </si>
  <si>
    <t>HMX_AXI_ADDR_WIDTH</t>
  </si>
  <si>
    <t>HMX_AXI_DATA_WIDTH</t>
  </si>
  <si>
    <t>AXI ID Width</t>
  </si>
  <si>
    <t>8 bits ID vectors</t>
  </si>
  <si>
    <t>HMX_ID_WIDTH</t>
  </si>
  <si>
    <t>AXI Burst Length Width</t>
  </si>
  <si>
    <t>Standard burst width</t>
  </si>
  <si>
    <t>HMX_BLW</t>
  </si>
  <si>
    <t>Nonsecure AXI Access</t>
  </si>
  <si>
    <t>All non-secure</t>
  </si>
  <si>
    <t>HMX_NONSECURE</t>
  </si>
  <si>
    <t>Use Default Unlock Address</t>
  </si>
  <si>
    <t>All unlocked</t>
  </si>
  <si>
    <t>HMX_USE_UNLOCK_ADDR</t>
  </si>
  <si>
    <t>Default Unlock Address</t>
  </si>
  <si>
    <t>HMX_UNLOCK_ADDR</t>
  </si>
  <si>
    <t>Convert Endianness</t>
  </si>
  <si>
    <t>HMX_ENDIAN_CONVERT</t>
  </si>
  <si>
    <t>Combinational AXI Readys</t>
  </si>
  <si>
    <t>HMX_DIRECT_AXI_READY</t>
  </si>
  <si>
    <t>Fast ready</t>
  </si>
  <si>
    <t>Command Buffer Depth</t>
  </si>
  <si>
    <t>HMX_CMD_BUFFER</t>
  </si>
  <si>
    <t>Write Data Buffer Depth</t>
  </si>
  <si>
    <t>HMX_WDATA_BUFFER</t>
  </si>
  <si>
    <t>Combinational HREADY</t>
  </si>
  <si>
    <t>HMX_DIRECT_AHB_READY</t>
  </si>
  <si>
    <t>Remove Read Data Buffer</t>
  </si>
  <si>
    <t>HMX_DIRECT_RDATA</t>
  </si>
  <si>
    <t>Read Data Buffer Depth</t>
  </si>
  <si>
    <t>HMX_RDATA_BUFFER</t>
  </si>
  <si>
    <t>Transaction Blocking</t>
  </si>
  <si>
    <t>Safest</t>
  </si>
  <si>
    <t>HMX_BLOCK_WRITE</t>
  </si>
  <si>
    <t>ahb2axi (eh2h)</t>
  </si>
  <si>
    <t>EH2H_PHY_SADDR_WIDTH</t>
  </si>
  <si>
    <t>EH2H_PHY_SDATA_WIDTH</t>
  </si>
  <si>
    <t>EH2H_PHY_SBIG_ENDIAN</t>
  </si>
  <si>
    <t>Number of masters in the primary AHB</t>
  </si>
  <si>
    <t>Lite only</t>
  </si>
  <si>
    <t>EH2H_PHY_NUM_PRIMARY_MASTERS</t>
  </si>
  <si>
    <t>EH2H_PHY_MADDR_WIDTH</t>
  </si>
  <si>
    <t>EH2H_PHY_MDATA_WIDTH</t>
  </si>
  <si>
    <t>EH2H_PHY_MBIG_ENDIAN</t>
  </si>
  <si>
    <t>Write buffer depth</t>
  </si>
  <si>
    <t>EH2H_WRITE_BUFFER_DEPTH</t>
  </si>
  <si>
    <t>Read buffer depth</t>
  </si>
  <si>
    <t>EH2H_READ_BUFFER_DEPTH</t>
  </si>
  <si>
    <t>Read prefetch depth</t>
  </si>
  <si>
    <t>EH2H_READ_PREFETCH_DEPTH</t>
  </si>
  <si>
    <t>Two prefetches on undef length burst</t>
  </si>
  <si>
    <t>Write buffer push pipe mode</t>
  </si>
  <si>
    <t>EH2H_WRITE_BUFFER_PUSH_PIPE_MODE</t>
  </si>
  <si>
    <t>Pipe</t>
  </si>
  <si>
    <t>Add pipeline</t>
  </si>
  <si>
    <t>Read buffer push pipe mode</t>
  </si>
  <si>
    <t>EH2H_READ_BUFFER_PUSH_PIPE_MODE</t>
  </si>
  <si>
    <t>Write buffer pop pipe mode</t>
  </si>
  <si>
    <t>EH2H_WRITE_BUFFER_POP_PIPE_MODE</t>
  </si>
  <si>
    <t>Read buffer pop pipe mode</t>
  </si>
  <si>
    <t>EH2H_READ_BUFFER_POP_PIPE_MODE</t>
  </si>
  <si>
    <t>Asynchronous clocks</t>
  </si>
  <si>
    <t>EH2H_CLK_MODE</t>
  </si>
  <si>
    <t>Slave Interface Synchronization
Depth?</t>
  </si>
  <si>
    <t>EH2H_SIF_SYNC_DEPTH</t>
  </si>
  <si>
    <t>2 stage sync</t>
  </si>
  <si>
    <t>2-stage posedge</t>
  </si>
  <si>
    <t>Master Interface Synchronization
Depth?</t>
  </si>
  <si>
    <t>EH2H_MIF_SYNC_DEPTH</t>
  </si>
  <si>
    <t>Add RAM Array
Synchronization?</t>
  </si>
  <si>
    <t>No RAM sync</t>
  </si>
  <si>
    <t>EH2H_RAM_SYNC</t>
  </si>
  <si>
    <t>SPLIT capable slave</t>
  </si>
  <si>
    <t>only AHB lite</t>
  </si>
  <si>
    <t>EH2H_IS_SSPLIT_CAPABLE</t>
  </si>
  <si>
    <t>X2P_AXI_AW</t>
  </si>
  <si>
    <t>8b ID vectors</t>
  </si>
  <si>
    <t>X2P_AXI_SIDW</t>
  </si>
  <si>
    <t>AXI Data Width</t>
  </si>
  <si>
    <t>X2P_AXI_DW</t>
  </si>
  <si>
    <t>64b AXI</t>
  </si>
  <si>
    <t>X2P_AXI_BLW</t>
  </si>
  <si>
    <t>Max 16 beat bursts</t>
  </si>
  <si>
    <t>AXI Endianness</t>
  </si>
  <si>
    <t>X2P_AXI_ENDIANNESS</t>
  </si>
  <si>
    <t>Minimum for clock xing</t>
  </si>
  <si>
    <t>X2P_CMD_QUEUE_DEPTH</t>
  </si>
  <si>
    <t>X2P_WRITE_BUFFER_DEPTH</t>
  </si>
  <si>
    <t>Write Response Buffer Depth</t>
  </si>
  <si>
    <t>X2P_WRITE_RESP_BUFFER_DEPTH</t>
  </si>
  <si>
    <t>X2P_READ_BUFFER_DEPTH</t>
  </si>
  <si>
    <t>Clock mode</t>
  </si>
  <si>
    <t>X2P_CLK_MODE</t>
  </si>
  <si>
    <t>Two clock inputs</t>
  </si>
  <si>
    <t>Dual Clock Mode Synchronization Depth</t>
  </si>
  <si>
    <t>X2P_DUAL_CLK_SYNC_DEPTH</t>
  </si>
  <si>
    <t>APB Address Width</t>
  </si>
  <si>
    <t>X2P_APB_ADDR_WIDTH</t>
  </si>
  <si>
    <t>APB Data Width</t>
  </si>
  <si>
    <t>32b data</t>
  </si>
  <si>
    <t>X2P_APB_DATA_WIDTH</t>
  </si>
  <si>
    <t>Number of APB Slave Ports</t>
  </si>
  <si>
    <t>16 is limit TBD -&gt; less Ips?</t>
  </si>
  <si>
    <t>X2P_NUM_APB_SLAVES</t>
  </si>
  <si>
    <t>Start Address for APB Slave n</t>
  </si>
  <si>
    <t>base address for slave n</t>
  </si>
  <si>
    <t>X2P_START_PADDR_Sn</t>
  </si>
  <si>
    <t>End Address for APB Slave n</t>
  </si>
  <si>
    <t>end address for slave n</t>
  </si>
  <si>
    <t>X2P_END_PADDR_Sn</t>
  </si>
  <si>
    <t>APB3 (under APB Slave
Addresses and Versions)</t>
  </si>
  <si>
    <t>X2P_IS_APB3_Sn</t>
  </si>
  <si>
    <t>APB3 compliant</t>
  </si>
  <si>
    <t>X2P_START_PADDR_32_Sn</t>
  </si>
  <si>
    <t>X2P_END_PADDR_32_Sn</t>
  </si>
  <si>
    <t>X2P_LOWPWR_HS_IF</t>
  </si>
  <si>
    <t>AXI and GIF Data Width</t>
  </si>
  <si>
    <t>AXI and GIF ID Width</t>
  </si>
  <si>
    <t>GIF Lite</t>
  </si>
  <si>
    <t>Combinational GIF Ready</t>
  </si>
  <si>
    <t>Request Buffer Depth</t>
  </si>
  <si>
    <t>Combinational AXI Ready</t>
  </si>
  <si>
    <t>Response Buffer Depth</t>
  </si>
  <si>
    <t>AXI and GIF Address Width</t>
  </si>
  <si>
    <t>AXI and GIF Burst Length Width</t>
  </si>
  <si>
    <t>AXI Number of Exclusive Accesses</t>
  </si>
  <si>
    <t>Posted write transactions limit</t>
  </si>
  <si>
    <t>Posted read transactions limit</t>
  </si>
  <si>
    <t>GS_AXI_ADDR_WIDTH</t>
  </si>
  <si>
    <t>Max 1MB address space</t>
  </si>
  <si>
    <t>GS_AXI_DATA_WIDTH</t>
  </si>
  <si>
    <t>64b data bus</t>
  </si>
  <si>
    <t>8 bits IDs</t>
  </si>
  <si>
    <t>GS_AXI_ID_WIDTH</t>
  </si>
  <si>
    <t>GS_BW</t>
  </si>
  <si>
    <t>Standard width</t>
  </si>
  <si>
    <t>GS_AXI_EX_ACCESS</t>
  </si>
  <si>
    <t>Lite interface only</t>
  </si>
  <si>
    <t>GS_GIF_LITE</t>
  </si>
  <si>
    <t>GS_LOWPWR_HS_IF</t>
  </si>
  <si>
    <t>GS_DIRECT_GIF_READY</t>
  </si>
  <si>
    <t>Lite interface, so can be combinatorial</t>
  </si>
  <si>
    <t>GS_REQ_BUFFER</t>
  </si>
  <si>
    <t>GS_WDATA_BUFFER</t>
  </si>
  <si>
    <t>Two required to keep full bandwidth?</t>
  </si>
  <si>
    <t>GS_DIRECT_AXI_READY</t>
  </si>
  <si>
    <t>GS_RESP_BUFFER</t>
  </si>
  <si>
    <t>Only one pending write</t>
  </si>
  <si>
    <t>Only one pending read</t>
  </si>
  <si>
    <t>GS_RID_BUFFER</t>
  </si>
  <si>
    <t>GS_BID_BUFFER</t>
  </si>
  <si>
    <t>JTAG interface</t>
  </si>
  <si>
    <t>ARC750D</t>
  </si>
  <si>
    <t>reset controller</t>
  </si>
  <si>
    <t>csi_rst_an</t>
  </si>
  <si>
    <t>sdio_rst_an</t>
  </si>
  <si>
    <t>all Ips; except the ones below</t>
  </si>
  <si>
    <t>Main system reset</t>
  </si>
  <si>
    <t>cpu_rst_a</t>
  </si>
  <si>
    <t>CPU reset, active high</t>
  </si>
  <si>
    <t>USB host</t>
  </si>
  <si>
    <t>USB device</t>
  </si>
  <si>
    <t>Only resets USB host core and PHY</t>
  </si>
  <si>
    <t>Only resets USB device core and PHY</t>
  </si>
  <si>
    <t>CSI2</t>
  </si>
  <si>
    <t>Only resets display interface</t>
  </si>
  <si>
    <t>Only resets camera interface</t>
  </si>
  <si>
    <t>SDIO controller</t>
  </si>
  <si>
    <t>Only resets SDIO controller</t>
  </si>
  <si>
    <t>Aperture Name</t>
  </si>
  <si>
    <t>Start Address</t>
  </si>
  <si>
    <t>0xC0000000</t>
  </si>
  <si>
    <t>0xFFFFFFFF</t>
  </si>
  <si>
    <t>0x80000000</t>
  </si>
  <si>
    <t>0xBFFFFFFF</t>
  </si>
  <si>
    <t>0x00000000</t>
  </si>
  <si>
    <t>0x7FFFFFFF</t>
  </si>
  <si>
    <t>Size</t>
  </si>
  <si>
    <t>1GB</t>
  </si>
  <si>
    <t>2GB</t>
  </si>
  <si>
    <t>Peripheral memory space. untranslated, non cacheable</t>
  </si>
  <si>
    <t>Kernel space. untranslated, cacheable</t>
  </si>
  <si>
    <t>512MB</t>
  </si>
  <si>
    <t>UNUSED</t>
  </si>
  <si>
    <t>Unused space</t>
  </si>
  <si>
    <t>JTAG reset</t>
  </si>
  <si>
    <t>arc_jtag_rst_n</t>
  </si>
  <si>
    <t>Two response in buffer, to keep pipelined</t>
  </si>
  <si>
    <t>No exclusive access support in ARC</t>
  </si>
  <si>
    <t>Only one pending AXI command</t>
  </si>
  <si>
    <t>0xC0002000</t>
  </si>
  <si>
    <t>8KB</t>
  </si>
  <si>
    <t>0xC0001FFF</t>
  </si>
  <si>
    <t>0xC0003FFF</t>
  </si>
  <si>
    <t>0xC0004000</t>
  </si>
  <si>
    <t>0xC0006000</t>
  </si>
  <si>
    <t>0xC0007FFF</t>
  </si>
  <si>
    <t>0xC0005FFF</t>
  </si>
  <si>
    <t>RESERVED</t>
  </si>
  <si>
    <t>0xC0008000</t>
  </si>
  <si>
    <t>0xC000FFFF</t>
  </si>
  <si>
    <t>32KB</t>
  </si>
  <si>
    <t>0xC0010000</t>
  </si>
  <si>
    <t>0xC0012000</t>
  </si>
  <si>
    <t>0xC0014000</t>
  </si>
  <si>
    <t>0xC001FFFF</t>
  </si>
  <si>
    <t>0xC0013FFF</t>
  </si>
  <si>
    <t>UART0, full modem, DMA</t>
  </si>
  <si>
    <t>I2C0, high-speed, DMA</t>
  </si>
  <si>
    <t>UART1, DMA</t>
  </si>
  <si>
    <t>UART2, IrDA</t>
  </si>
  <si>
    <t>0xC0011FFF</t>
  </si>
  <si>
    <t>I2C1, fast-speed</t>
  </si>
  <si>
    <t>48KB</t>
  </si>
  <si>
    <t>0xC0020000</t>
  </si>
  <si>
    <t>0xC0022000</t>
  </si>
  <si>
    <t>0xC0024000</t>
  </si>
  <si>
    <t>0xC0026000</t>
  </si>
  <si>
    <t>0xC0027FFF</t>
  </si>
  <si>
    <t>0xC0025FFF</t>
  </si>
  <si>
    <t>0xC0023FFF</t>
  </si>
  <si>
    <t>0xC0021FFF</t>
  </si>
  <si>
    <t>0xC0028000</t>
  </si>
  <si>
    <t>0xC002FFFF</t>
  </si>
  <si>
    <t>0xC0030000</t>
  </si>
  <si>
    <t>I2S, transmit, DMA</t>
  </si>
  <si>
    <t>I2S, transmit</t>
  </si>
  <si>
    <t>0xC003FFFF</t>
  </si>
  <si>
    <t>0xC0040000</t>
  </si>
  <si>
    <t>0xC0041FFF</t>
  </si>
  <si>
    <t>I2S, receive, DMA</t>
  </si>
  <si>
    <t>I2S, receive</t>
  </si>
  <si>
    <t>0xC0042000</t>
  </si>
  <si>
    <t>0xC0043FFF</t>
  </si>
  <si>
    <t>0xC0044000</t>
  </si>
  <si>
    <t>0xC004FFFF</t>
  </si>
  <si>
    <t>Boot ROM</t>
  </si>
  <si>
    <t>0xCFFFFFFF</t>
  </si>
  <si>
    <t>0xD0000000</t>
  </si>
  <si>
    <t>256MB</t>
  </si>
  <si>
    <t>0xDFFFFFFF</t>
  </si>
  <si>
    <t>0xE0000000</t>
  </si>
  <si>
    <t>kb</t>
  </si>
  <si>
    <t>mb</t>
  </si>
  <si>
    <t>ok</t>
  </si>
  <si>
    <t>GPIO</t>
  </si>
  <si>
    <t>0xC0050000</t>
  </si>
  <si>
    <t>INTC</t>
  </si>
  <si>
    <t>Interrupt controller</t>
  </si>
  <si>
    <t>0xC1000000</t>
  </si>
  <si>
    <t>0xC1001FFF</t>
  </si>
  <si>
    <t>0xC1002000</t>
  </si>
  <si>
    <t>0xC1FFFFFF</t>
  </si>
  <si>
    <t>16376KB</t>
  </si>
  <si>
    <t>0xC2000000</t>
  </si>
  <si>
    <t>USB Host control interface</t>
  </si>
  <si>
    <t>0xC4000000</t>
  </si>
  <si>
    <t>0xC4FFFFFF</t>
  </si>
  <si>
    <t>0xC0FFFFFF</t>
  </si>
  <si>
    <t>0xC3FFFFFF</t>
  </si>
  <si>
    <t>0xC6000000</t>
  </si>
  <si>
    <t>0xC6FFFFFF</t>
  </si>
  <si>
    <t>0xC5000000</t>
  </si>
  <si>
    <t>0xC5FFFFFF</t>
  </si>
  <si>
    <t>SDIO Card control interface</t>
  </si>
  <si>
    <t>USBH_CTRL</t>
  </si>
  <si>
    <t>USBD_CTRL</t>
  </si>
  <si>
    <t>SDIO_CTRL</t>
  </si>
  <si>
    <t>0xC7000000</t>
  </si>
  <si>
    <t>0xC7FFFFFF</t>
  </si>
  <si>
    <t>16MB</t>
  </si>
  <si>
    <t>DMA_CTRL</t>
  </si>
  <si>
    <t>0xC8000000</t>
  </si>
  <si>
    <t>0xC8001FFF</t>
  </si>
  <si>
    <t>DMA control port</t>
  </si>
  <si>
    <t>0xC8002000</t>
  </si>
  <si>
    <t>0xC8FFFFFF</t>
  </si>
  <si>
    <t>Reserved, mirrored to DMA_CTRL</t>
  </si>
  <si>
    <t>Reserved, mirrored to SDIO_CTRL</t>
  </si>
  <si>
    <t>Reserved, mirrored to USBD_CTRL</t>
  </si>
  <si>
    <t>Reserved, mirrored to USBH_CTRL</t>
  </si>
  <si>
    <t>Reserved, mirrored to INTC</t>
  </si>
  <si>
    <t>Reserved for future UARTs</t>
  </si>
  <si>
    <t>Reserved for future I2Cs</t>
  </si>
  <si>
    <t>0xC9000000</t>
  </si>
  <si>
    <t>0xC9001FFF</t>
  </si>
  <si>
    <t>0xC9002000</t>
  </si>
  <si>
    <t>0xC9FFFFFF</t>
  </si>
  <si>
    <t>Reserved, mirrored to PGU_CTRL</t>
  </si>
  <si>
    <t>Pixel Graphics Unit control port</t>
  </si>
  <si>
    <t>0xCA000000</t>
  </si>
  <si>
    <t>0xCA001FFF</t>
  </si>
  <si>
    <t>Reserved, mirrored to DSI_CTRL</t>
  </si>
  <si>
    <t>0xCA002000</t>
  </si>
  <si>
    <t>0xCAFFFFFF</t>
  </si>
  <si>
    <t>0xCB000000</t>
  </si>
  <si>
    <t>0xCB001FFF</t>
  </si>
  <si>
    <t>Video/camera control port</t>
  </si>
  <si>
    <t>Reserved, mirrored to VIDCAM_CTRL</t>
  </si>
  <si>
    <t>0xCB002000</t>
  </si>
  <si>
    <t>0xCBFFFFFF</t>
  </si>
  <si>
    <t>0xCC000000</t>
  </si>
  <si>
    <t>0xCC002000</t>
  </si>
  <si>
    <t>0xCCFFFFFF</t>
  </si>
  <si>
    <t>0xCC001FFF</t>
  </si>
  <si>
    <t>Reserved, mirrored to CSI2_CTRL</t>
  </si>
  <si>
    <t>0xCD000000</t>
  </si>
  <si>
    <t>Reserved for future real-time bus peripherals</t>
  </si>
  <si>
    <t>48MB</t>
  </si>
  <si>
    <t>Reserved for future connectivity bus peripherals</t>
  </si>
  <si>
    <t>Backbone APB peripheral memory space</t>
  </si>
  <si>
    <t>Connectivity peripherals</t>
  </si>
  <si>
    <t>Real-time bus peripherals</t>
  </si>
  <si>
    <t>64MB</t>
  </si>
  <si>
    <t>PERI</t>
  </si>
  <si>
    <t>KERNEL</t>
  </si>
  <si>
    <t>USER</t>
  </si>
  <si>
    <t>User space. translated, cacheable</t>
  </si>
  <si>
    <t>128MB</t>
  </si>
  <si>
    <t>224MB</t>
  </si>
  <si>
    <t>0xC2FFFFFF</t>
  </si>
  <si>
    <t>0xC3000000</t>
  </si>
  <si>
    <t>Always on peripherals</t>
  </si>
  <si>
    <t>16320KB</t>
  </si>
  <si>
    <t>64KB</t>
  </si>
  <si>
    <t>0xC1007FFF</t>
  </si>
  <si>
    <t>24KB</t>
  </si>
  <si>
    <t>0xC1008000</t>
  </si>
  <si>
    <t>0xC1009FFF</t>
  </si>
  <si>
    <t>0xC100A000</t>
  </si>
  <si>
    <t>0xC100FFFF</t>
  </si>
  <si>
    <t>0xC1010000</t>
  </si>
  <si>
    <t>16064KB</t>
  </si>
  <si>
    <t>Reserved for future APB peripherals</t>
  </si>
  <si>
    <t>Reserved for future always on peripherals</t>
  </si>
  <si>
    <t>Reserved for future RTCs</t>
  </si>
  <si>
    <t>0xC2002000</t>
  </si>
  <si>
    <t>0xC2001FFF</t>
  </si>
  <si>
    <t>some columns to check completeness</t>
  </si>
  <si>
    <t>End 
Address</t>
  </si>
  <si>
    <t>0xE0001FFF</t>
  </si>
  <si>
    <t>Clock and reset module</t>
  </si>
  <si>
    <t>Watchdog timer</t>
  </si>
  <si>
    <t>Power management event, interrupt controller</t>
  </si>
  <si>
    <t>0xE0002000</t>
  </si>
  <si>
    <t>0xE0004000</t>
  </si>
  <si>
    <t>0xE0005FFF</t>
  </si>
  <si>
    <t>0xE0003FFF</t>
  </si>
  <si>
    <t>0xE0006000</t>
  </si>
  <si>
    <t>0xE0007FFF</t>
  </si>
  <si>
    <t>LPDDR controller control/status interface</t>
  </si>
  <si>
    <t>GPIO for subsystem configuration/status signals</t>
  </si>
  <si>
    <t>0xE0008000</t>
  </si>
  <si>
    <t>Reserved for reference design APB peripherals</t>
  </si>
  <si>
    <t>0xE1FFFFFF</t>
  </si>
  <si>
    <t>0xE2000000</t>
  </si>
  <si>
    <t>0xE2FFFFFF</t>
  </si>
  <si>
    <t>0xE3000000</t>
  </si>
  <si>
    <t>Reserved for reference design AXI peripherals</t>
  </si>
  <si>
    <t>Only 12 required</t>
  </si>
  <si>
    <t>DMA flow control interface</t>
  </si>
  <si>
    <t>Modem  Parameter value (UART0)</t>
  </si>
  <si>
    <t xml:space="preserve"> IrDa Parameter value (UART3)</t>
  </si>
  <si>
    <t xml:space="preserve"> Standard Parameter value (UART1/2)</t>
  </si>
  <si>
    <t>Connected to IP</t>
  </si>
  <si>
    <t>Cascaded INTC interrupts</t>
  </si>
  <si>
    <t>USBH</t>
  </si>
  <si>
    <t>USBD</t>
  </si>
  <si>
    <t>SDIO</t>
  </si>
  <si>
    <t>DMAC</t>
  </si>
  <si>
    <t>RESET</t>
  </si>
  <si>
    <t>MEMERR</t>
  </si>
  <si>
    <t>INSTRERR</t>
  </si>
  <si>
    <t>TIMER0</t>
  </si>
  <si>
    <t>TIMER1</t>
  </si>
  <si>
    <t>13-15</t>
  </si>
  <si>
    <t>reserved for subsystem internal purposes; tied to 1 within subsystem design</t>
  </si>
  <si>
    <t>reserved for application purposes; tied to GPIO outputs in reference design</t>
  </si>
  <si>
    <t>Tx0
Parameter value</t>
  </si>
  <si>
    <t>Tx1
Parameter value</t>
  </si>
  <si>
    <t>Rx0
Parameter value</t>
  </si>
  <si>
    <t>Rx1
Parameter value</t>
  </si>
  <si>
    <t>1 for stereo</t>
  </si>
  <si>
    <t>yes UART1/no UART2</t>
  </si>
  <si>
    <t>high (I2C0)/
full (I2C1)</t>
  </si>
  <si>
    <t>High speed mode supported on I2C0 only</t>
  </si>
  <si>
    <t>yes  (I2C0)/
no (I2C1)</t>
  </si>
  <si>
    <t>Two handshake pairs to DMA controller on I2C0 only</t>
  </si>
  <si>
    <t>yes (SPI0/1)/
no (SPI2/3)</t>
  </si>
  <si>
    <t>0/1</t>
  </si>
  <si>
    <t>3/2</t>
  </si>
  <si>
    <t>axi2apb (x2p)</t>
  </si>
  <si>
    <t>aux_rst_an</t>
  </si>
  <si>
    <t>Auxiliary domain reset</t>
  </si>
  <si>
    <t>Reset for RTC and GPIO in auxiliary power domain.</t>
  </si>
  <si>
    <t>All active low</t>
  </si>
  <si>
    <t>X2X Master Port ID Width</t>
  </si>
  <si>
    <t>X2X Slave Port Data Width</t>
  </si>
  <si>
    <t>X2X Slave Port ID Width</t>
  </si>
  <si>
    <t>Depth of W Channel Buffer</t>
  </si>
  <si>
    <t>Depth of B Channel Buffer</t>
  </si>
  <si>
    <t xml:space="preserve"> Upconv Parameter value</t>
  </si>
  <si>
    <t>Downconv Parameter value</t>
  </si>
  <si>
    <t>Same Parameter value</t>
  </si>
  <si>
    <t>Same Value</t>
  </si>
  <si>
    <t>Down Value</t>
  </si>
  <si>
    <t>Up Value</t>
  </si>
  <si>
    <t>X2X_MP_AW</t>
  </si>
  <si>
    <t>X2X_MP_DW</t>
  </si>
  <si>
    <t>X2X_MP_IDW</t>
  </si>
  <si>
    <t>X2X_SP_AW</t>
  </si>
  <si>
    <t>X2X_SP_DW</t>
  </si>
  <si>
    <t>X2X_SP_IDW</t>
  </si>
  <si>
    <t>X2X_AW_BUF_DEPTH</t>
  </si>
  <si>
    <t>X2X_W_BUF_DEPTH</t>
  </si>
  <si>
    <t>X2X_B_BUF_DEPTH</t>
  </si>
  <si>
    <t>X2X Master Port Address Width</t>
  </si>
  <si>
    <t>X2X Master Port Data Width</t>
  </si>
  <si>
    <t>X2X Slave Port Address Width</t>
  </si>
  <si>
    <t>Depth of AW Channel Buffer</t>
  </si>
  <si>
    <t>Depth of R Channel Buffer</t>
  </si>
  <si>
    <t>Depth of AR Channel Buffer</t>
  </si>
  <si>
    <t>X2X_AR_BUF_DEPTH</t>
  </si>
  <si>
    <t>X2X_R_BUF_DEPTH</t>
  </si>
  <si>
    <t>Clock Mode</t>
  </si>
  <si>
    <t>X2X_CLK_MODE</t>
  </si>
  <si>
    <t>Master Port Synchronization Depth</t>
  </si>
  <si>
    <t>2pos</t>
  </si>
  <si>
    <t>X2X_MP_SYNC_DEPTH</t>
  </si>
  <si>
    <t>Unique Write ID Accept Limit</t>
  </si>
  <si>
    <t>X2X_MAX_UWIDA</t>
  </si>
  <si>
    <t>X2X_MAX_WCA_ID</t>
  </si>
  <si>
    <t>Write Accept Limit Per ID</t>
  </si>
  <si>
    <t>Unique Read ID Accept Limit</t>
  </si>
  <si>
    <t>X2X_MAX_URIDA</t>
  </si>
  <si>
    <t>Write Interleave Depth of X2X Master Port</t>
  </si>
  <si>
    <t>X2X_WID</t>
  </si>
  <si>
    <t>X2X_LOWPWR_HS_IF</t>
  </si>
  <si>
    <t>Add Address Channel Pipeline Stage?</t>
  </si>
  <si>
    <t>X2X_HAS_PIPELINE</t>
  </si>
  <si>
    <t>Enable Transaction
Upsizing?</t>
  </si>
  <si>
    <t>X2X_HAS_TX_UPSIZE</t>
  </si>
  <si>
    <t>Upsize From Any A[R|W]SIZE Value?</t>
  </si>
  <si>
    <t>X2X_UPSIZE_ANY_ASIZE</t>
  </si>
  <si>
    <t>Support Wrapping Bursts?</t>
  </si>
  <si>
    <t>X2X_HAS_WRAP_BURST</t>
  </si>
  <si>
    <t>Perform Endianness Conversion?</t>
  </si>
  <si>
    <t>X2X_HAS_ET</t>
  </si>
  <si>
    <t>Channel AW HasSideBand</t>
  </si>
  <si>
    <t>X2X_HAS_AWSB</t>
  </si>
  <si>
    <t>Channel W HasSideBand</t>
  </si>
  <si>
    <t>X2X_HAS_WSB</t>
  </si>
  <si>
    <t>Channel B HasSideBand</t>
  </si>
  <si>
    <t>Channel AR HasSideBand</t>
  </si>
  <si>
    <t>Channel R HasSideBand</t>
  </si>
  <si>
    <t>X2X_HAS_BSB</t>
  </si>
  <si>
    <t>X2X_HAS_ARSB</t>
  </si>
  <si>
    <t>X2X_HAS_RSB</t>
  </si>
  <si>
    <t>Depends on up/down</t>
  </si>
  <si>
    <t>Standard ID width</t>
  </si>
  <si>
    <t>Downconverter is low perf</t>
  </si>
  <si>
    <t>Always asynchronous</t>
  </si>
  <si>
    <t>2 flops for sync</t>
  </si>
  <si>
    <t>Limited pending writes</t>
  </si>
  <si>
    <t>Standard value</t>
  </si>
  <si>
    <t>Only add if required to meet frequency</t>
  </si>
  <si>
    <t>Yes, merge transactions, only if cacheable/bufferable</t>
  </si>
  <si>
    <t>Always merge</t>
  </si>
  <si>
    <t>Full protocol support</t>
  </si>
  <si>
    <t>Always little endian</t>
  </si>
  <si>
    <t>No sidebands</t>
  </si>
  <si>
    <t>0xE0009FFF</t>
  </si>
  <si>
    <t>0xE000A000</t>
  </si>
  <si>
    <t>Power management controller</t>
  </si>
  <si>
    <t>1</t>
  </si>
  <si>
    <t>0</t>
  </si>
  <si>
    <t>Enable ULPI Carkit?</t>
  </si>
  <si>
    <t>Battery charger support on Host only</t>
  </si>
  <si>
    <t>PHY access</t>
  </si>
  <si>
    <t>Nice for driver</t>
  </si>
  <si>
    <t>Nice if no intterupt pending</t>
  </si>
  <si>
    <t>base+16*64</t>
  </si>
  <si>
    <t>0x800+64*n</t>
  </si>
  <si>
    <t>0x800+16*64</t>
  </si>
  <si>
    <t>Parameter encoding</t>
  </si>
  <si>
    <t>Clock enable not included</t>
  </si>
  <si>
    <t>input</t>
  </si>
  <si>
    <t>One interrupt output</t>
  </si>
  <si>
    <t>32b  bus</t>
  </si>
  <si>
    <t>no hardcode</t>
  </si>
  <si>
    <t>0xE3FFFFFF</t>
  </si>
  <si>
    <t>0xE3002000</t>
  </si>
  <si>
    <t>0xE3001FFF</t>
  </si>
  <si>
    <t>0xE4000000</t>
  </si>
  <si>
    <t>ARC core</t>
  </si>
  <si>
    <t>I$</t>
  </si>
  <si>
    <t>D$</t>
  </si>
  <si>
    <t>Prefetchers&amp;prot conv</t>
  </si>
  <si>
    <t>Utilization %</t>
  </si>
  <si>
    <t>Total [%]</t>
  </si>
  <si>
    <t>Prefetchers, protocol converters</t>
  </si>
  <si>
    <t>Total ARC CPU chiplet (sum of above)</t>
  </si>
  <si>
    <t>Embedded SRAM size</t>
  </si>
  <si>
    <t>Instruction cache memories (tag+data)</t>
  </si>
  <si>
    <t>Data cache memories (tag + data)</t>
  </si>
  <si>
    <t>ARC core logic + MMU and branch pred memories + D$ dirty bits</t>
  </si>
  <si>
    <t>Boot ROM size</t>
  </si>
  <si>
    <t>Total size of main subsystem</t>
  </si>
  <si>
    <t>Embedded flash size, modelled as SRAM</t>
  </si>
  <si>
    <t>Total reference design size</t>
  </si>
  <si>
    <t>Reference design, auxiliary chiplet size</t>
  </si>
  <si>
    <t>Auxiliary power domain chiplet</t>
  </si>
  <si>
    <t>Total system</t>
  </si>
  <si>
    <t>Total ref aux chiplet</t>
  </si>
  <si>
    <t>Total ref chiplet</t>
  </si>
  <si>
    <t>Total aux chiplet</t>
  </si>
  <si>
    <t>Total main chiplet</t>
  </si>
  <si>
    <t>Total ARC chiplet</t>
  </si>
  <si>
    <t>Embd RAM</t>
  </si>
  <si>
    <t>Emb flash (RAM model)</t>
  </si>
  <si>
    <t>Logic gates</t>
  </si>
  <si>
    <t>Gate area [um2]</t>
  </si>
  <si>
    <t>Size of complete system = sum of ARC, Main, Aux, Ref, Refaux chiplets</t>
  </si>
  <si>
    <t>Total [um2]</t>
  </si>
  <si>
    <t>Logic [um2]</t>
  </si>
  <si>
    <t>Memory [um2]</t>
  </si>
  <si>
    <t>Register name</t>
  </si>
  <si>
    <t>RW Type</t>
  </si>
  <si>
    <t>Address offset</t>
  </si>
  <si>
    <t>Reset value</t>
  </si>
  <si>
    <t>DIS_CTRL</t>
  </si>
  <si>
    <t>DIS_STAT</t>
  </si>
  <si>
    <t>DIS_FMT</t>
  </si>
  <si>
    <t>DIS_HSYNC</t>
  </si>
  <si>
    <t>DIS_VSYNC</t>
  </si>
  <si>
    <t>DIS_FRAME</t>
  </si>
  <si>
    <t>DIS_BASE0</t>
  </si>
  <si>
    <t>DIS_BASE1</t>
  </si>
  <si>
    <t>DIS_STRIDE</t>
  </si>
  <si>
    <t>DIS_STCLR</t>
  </si>
  <si>
    <t>DIS_STSET</t>
  </si>
  <si>
    <t>DIS_IENCLR</t>
  </si>
  <si>
    <t>DIS_IENSET</t>
  </si>
  <si>
    <t>DIS_IEN</t>
  </si>
  <si>
    <t>DIS_ICLR</t>
  </si>
  <si>
    <t>DIS_ISET</t>
  </si>
  <si>
    <t>DIS_ISTAT</t>
  </si>
  <si>
    <t>DIS_ID</t>
  </si>
  <si>
    <t>0x000</t>
  </si>
  <si>
    <t>0x004</t>
  </si>
  <si>
    <t>0x010</t>
  </si>
  <si>
    <t>0x014</t>
  </si>
  <si>
    <t>0x018</t>
  </si>
  <si>
    <t>0x01c</t>
  </si>
  <si>
    <t>0x040</t>
  </si>
  <si>
    <t>0x044</t>
  </si>
  <si>
    <t>0x048</t>
  </si>
  <si>
    <t>0x080</t>
  </si>
  <si>
    <t>0x084</t>
  </si>
  <si>
    <t>0x3c0</t>
  </si>
  <si>
    <t>0x3c4</t>
  </si>
  <si>
    <t>0x3c8</t>
  </si>
  <si>
    <t>0x3fc</t>
  </si>
  <si>
    <t>0x008-0x00c</t>
  </si>
  <si>
    <t>0x020-0x03c</t>
  </si>
  <si>
    <t>0x088-0x3bc</t>
  </si>
  <si>
    <t>RW</t>
  </si>
  <si>
    <t>RO</t>
  </si>
  <si>
    <t>WO</t>
  </si>
  <si>
    <t>Display control register</t>
  </si>
  <si>
    <t>Display status register</t>
  </si>
  <si>
    <t>Reserved</t>
  </si>
  <si>
    <t>Display x/y format</t>
  </si>
  <si>
    <t>Display HSYNC timing</t>
  </si>
  <si>
    <t>Display VSYNC timing</t>
  </si>
  <si>
    <t>Display ACTIVE timing</t>
  </si>
  <si>
    <t>Display framebuffer0 base address</t>
  </si>
  <si>
    <t>Display framebuffer1 base address</t>
  </si>
  <si>
    <t>Display start flag clear register</t>
  </si>
  <si>
    <t>Display start flag set register</t>
  </si>
  <si>
    <t>Display interrupt enable clear register</t>
  </si>
  <si>
    <t>Display interrupt enable set register</t>
  </si>
  <si>
    <t>Display interrupt enable register</t>
  </si>
  <si>
    <t>Display interrupt status register</t>
  </si>
  <si>
    <t>Display interrupt status set register</t>
  </si>
  <si>
    <t>Display interrupt status clear register</t>
  </si>
  <si>
    <t>Module ID</t>
  </si>
  <si>
    <t>0x3e0</t>
  </si>
  <si>
    <t>0x3e4</t>
  </si>
  <si>
    <t>0x3e8</t>
  </si>
  <si>
    <t>0x3ec-0x3f8</t>
  </si>
  <si>
    <t>0x3cc-0x3dc</t>
  </si>
  <si>
    <t>Field name</t>
  </si>
  <si>
    <t>Bits</t>
  </si>
  <si>
    <t>Reset</t>
  </si>
  <si>
    <t>CONT</t>
  </si>
  <si>
    <t>ENABLE</t>
  </si>
  <si>
    <t>FORMAT</t>
  </si>
  <si>
    <t>VS_POL</t>
  </si>
  <si>
    <t>HS_POL</t>
  </si>
  <si>
    <t>DE_POL</t>
  </si>
  <si>
    <t>CLK_POL</t>
  </si>
  <si>
    <t>CLK_HIGH</t>
  </si>
  <si>
    <t>CLK_DIV</t>
  </si>
  <si>
    <t>4</t>
  </si>
  <si>
    <t>5</t>
  </si>
  <si>
    <t>6</t>
  </si>
  <si>
    <t>If true, then continuous display mode</t>
  </si>
  <si>
    <t>If true, then display output is on</t>
  </si>
  <si>
    <t>2</t>
  </si>
  <si>
    <t>3</t>
  </si>
  <si>
    <t>Framebuffer format, if true, then RGB888 else RGB565</t>
  </si>
  <si>
    <t>VSYNC polarity</t>
  </si>
  <si>
    <t>HSYNC polarity</t>
  </si>
  <si>
    <t>Data enable polarity</t>
  </si>
  <si>
    <t>Clock polarity</t>
  </si>
  <si>
    <t>Clock period -1</t>
  </si>
  <si>
    <t>Clock high time -1</t>
  </si>
  <si>
    <t>ERR</t>
  </si>
  <si>
    <t>BUSY</t>
  </si>
  <si>
    <t>PENDING</t>
  </si>
  <si>
    <t>START</t>
  </si>
  <si>
    <t>4:3</t>
  </si>
  <si>
    <t>If true, then DMA underflow, resyncing at next VSYNC</t>
  </si>
  <si>
    <t>If true, then display output busy</t>
  </si>
  <si>
    <t>If true, then DMA transactions are pending</t>
  </si>
  <si>
    <t>If true, then DMA will be started for framebuffer 0/1</t>
  </si>
  <si>
    <t>VSIZE</t>
  </si>
  <si>
    <t>HSIZE</t>
  </si>
  <si>
    <t>Vertical display size -1, incl vsync</t>
  </si>
  <si>
    <t>Horizontal display size -1, incl hsync</t>
  </si>
  <si>
    <t>ACT</t>
  </si>
  <si>
    <t>DEACT</t>
  </si>
  <si>
    <t>Pixel clock cycles to activate HSYNC</t>
  </si>
  <si>
    <t>Pixel clock cycles to deactivate HSYNC</t>
  </si>
  <si>
    <t>Line count to activate VSYNC</t>
  </si>
  <si>
    <t>HACT</t>
  </si>
  <si>
    <t>VACT</t>
  </si>
  <si>
    <t>Pixel clock cycles to enable active pixels</t>
  </si>
  <si>
    <t>Lines count to enable active pixels</t>
  </si>
  <si>
    <t>ADDR</t>
  </si>
  <si>
    <t>31:0</t>
  </si>
  <si>
    <t>Base address of framebuffer 0, should be aligned on DMA burst length (8*8 bytes)</t>
  </si>
  <si>
    <t>Base address of framebuffer 1, should be aligned on DMA burst length (8*8 bytes)</t>
  </si>
  <si>
    <t>STRIDE</t>
  </si>
  <si>
    <t>CLR</t>
  </si>
  <si>
    <t>1:0</t>
  </si>
  <si>
    <t>Writing will clear corresponding DIS_STAT.START bit</t>
  </si>
  <si>
    <t>Address stride between consecutive lines in framebuffer. Needs to be aligned on DMA burst length</t>
  </si>
  <si>
    <t>UERR</t>
  </si>
  <si>
    <t>HERR</t>
  </si>
  <si>
    <t>VERR</t>
  </si>
  <si>
    <t>RD_DONE</t>
  </si>
  <si>
    <t>CMD_DONE</t>
  </si>
  <si>
    <t>Writing a 1 will set corresponding DIS_STAT.START bit</t>
  </si>
  <si>
    <t>Writing a 1 will clear corresponding DIS_IEN bit</t>
  </si>
  <si>
    <t>Writing a 1 will set corresponding DIS_IEN bit</t>
  </si>
  <si>
    <t>Underflow error interrupt enable</t>
  </si>
  <si>
    <t>HSYNC error interrupt enable</t>
  </si>
  <si>
    <t>VSYNC error interrupt enable</t>
  </si>
  <si>
    <t>Command done interrupt per framebuffer interrupt enable</t>
  </si>
  <si>
    <t>Read data done interrupt per framebuffer interrupt enable</t>
  </si>
  <si>
    <t>Writing a 1 will clear corresponding DIS_ISTAT bit</t>
  </si>
  <si>
    <t>Writing a 1 will set corresponding DIS_ISTAT bit</t>
  </si>
  <si>
    <t>Underflow error interrupt</t>
  </si>
  <si>
    <t>HSYNC error interrupt</t>
  </si>
  <si>
    <t>VSYNC error interrupt</t>
  </si>
  <si>
    <t>Read data done interrupt per framebuffer interrupt</t>
  </si>
  <si>
    <t>0xabbabaab</t>
  </si>
  <si>
    <t>Line count to deactivate VSYNC</t>
  </si>
  <si>
    <t>Display memory stride between consecutive lines</t>
  </si>
  <si>
    <t>7</t>
  </si>
  <si>
    <t>23:16</t>
  </si>
  <si>
    <t>15:0</t>
  </si>
  <si>
    <t>31:16</t>
  </si>
  <si>
    <t>SET</t>
  </si>
  <si>
    <t>RD_ANY</t>
  </si>
  <si>
    <t>ID</t>
  </si>
  <si>
    <t>Read data done interrupt, always set</t>
  </si>
  <si>
    <t>Command done interrupt per framebuffer interrupt. In continuous display mode only set when next start bit has been set.</t>
  </si>
  <si>
    <t>Read data done interrupt per framebuffer interrupt In continuous display mode only set when next start bit has been set.</t>
  </si>
  <si>
    <t>Read data done always interrupt enable</t>
  </si>
  <si>
    <t>0x031f020c</t>
  </si>
  <si>
    <t>0x0019006f</t>
  </si>
  <si>
    <t>0x0009000b</t>
  </si>
  <si>
    <t>0x009f002c</t>
  </si>
  <si>
    <t>Display framebuffer2 base address</t>
  </si>
  <si>
    <t>0x04c</t>
  </si>
  <si>
    <t>0x050</t>
  </si>
  <si>
    <t>0x054-0x07c</t>
  </si>
  <si>
    <t>DIS_BASE2</t>
  </si>
  <si>
    <t>Base address of framebuffer 2, should be aligned on DMA burst length (8*8 bytes)</t>
  </si>
  <si>
    <t>2:0</t>
  </si>
  <si>
    <t>6:4</t>
  </si>
  <si>
    <t>8</t>
  </si>
  <si>
    <t>9</t>
  </si>
  <si>
    <t>5:3</t>
  </si>
  <si>
    <t>HFLIP</t>
  </si>
  <si>
    <t>ROT</t>
  </si>
  <si>
    <t>Flip frame horizontally</t>
  </si>
  <si>
    <t>Rotate frame 90 degrees clockwise</t>
  </si>
  <si>
    <t>31:24</t>
  </si>
  <si>
    <t>15:9</t>
  </si>
  <si>
    <t>0x10000061</t>
  </si>
  <si>
    <t>Comment</t>
  </si>
  <si>
    <t>ARC Cache size</t>
  </si>
  <si>
    <t>16KB/16KB or 32KB/32KB</t>
  </si>
  <si>
    <t>CPU cache size configuration. Only two values supported. I$ and D$ will always be same size.</t>
  </si>
  <si>
    <t>yes/no</t>
  </si>
  <si>
    <t>32KB/32KB</t>
  </si>
  <si>
    <t>CPU Parameters</t>
  </si>
  <si>
    <t>Interface Parameters</t>
  </si>
  <si>
    <t>Include CPU extension instructions for speeding up Android.</t>
  </si>
  <si>
    <t>Include Real-Time Clock</t>
  </si>
  <si>
    <t>Include the USB Host (DW_otg) into the subsystem</t>
  </si>
  <si>
    <t>Include the USB Device (DW_otg) into the subsystem</t>
  </si>
  <si>
    <t>Include SDIO?</t>
  </si>
  <si>
    <t>Include USB Device?</t>
  </si>
  <si>
    <t>Include USB Host?</t>
  </si>
  <si>
    <t>Include Android extension instructions?</t>
  </si>
  <si>
    <t>Include the SDIO IP (DW_mobile_storage) into the subsystem</t>
  </si>
  <si>
    <t>Include the Real-Time Clock IP into the subsystem always-on power domain</t>
  </si>
  <si>
    <t>Include GPIO?</t>
  </si>
  <si>
    <t>Include the GPIO IP in the subsystem into the subsystem always-on power domain</t>
  </si>
  <si>
    <t>Include Display I/F</t>
  </si>
  <si>
    <t>Include Camera I/F</t>
  </si>
  <si>
    <t>Include the Display Interface IP into the subsystem</t>
  </si>
  <si>
    <t>Include the Camera Interface IP into the subsystem</t>
  </si>
  <si>
    <t>Include High-speed I2C?</t>
  </si>
  <si>
    <t>Include Standard-speed I2C?</t>
  </si>
  <si>
    <t>Include the high-speed I2C IP in the subsystem</t>
  </si>
  <si>
    <t>Include the standard-speed I2C IP in the subsystem</t>
  </si>
  <si>
    <t>Include 24b I2S Rx master?</t>
  </si>
  <si>
    <t>Include 24b I2S Tx master?</t>
  </si>
  <si>
    <t>Include 16b I2S Rx master?</t>
  </si>
  <si>
    <t>Include 16b I2S Tx master?</t>
  </si>
  <si>
    <t>Include 24b I2S Rx slave?</t>
  </si>
  <si>
    <t>Include 24b I2S Tx slave?</t>
  </si>
  <si>
    <t>Include DMA capable SPI master?</t>
  </si>
  <si>
    <t>Include non-DMA capable SPI master?</t>
  </si>
  <si>
    <t>Include non-DMA capable SPI slave?</t>
  </si>
  <si>
    <t>Include a second DMA capable SPI master?</t>
  </si>
  <si>
    <t>Include a second non-DMA capable SPI master?</t>
  </si>
  <si>
    <t>Include the I2S IP (DW_i2s) configured for receive mode, clock master and 24-bit data, DMA support</t>
  </si>
  <si>
    <t>Include the I2S IP (DW_i2s) configured for transmit mode, clock master and 24-bit data, DMA support</t>
  </si>
  <si>
    <t>Include the I2S IP (DW_i2s) configured for receive mode, clock master and 16-bit data</t>
  </si>
  <si>
    <t>Include the I2S IP (DW_i2s) configured for transmit mode, clock master and 16-bit data</t>
  </si>
  <si>
    <t>Include the I2S IP (DW_i2s) configured for receive mode, clock slave and 24-bit data</t>
  </si>
  <si>
    <t>Include the I2S IP (DW_i2s) configured for transmit mode, clock slave and 24-bit data</t>
  </si>
  <si>
    <t>Include the SPI IP (DW_ssi) configured as master and DMA support</t>
  </si>
  <si>
    <t>Include the SPI IP (DW_ssi) configured as master and without DMA support</t>
  </si>
  <si>
    <t>Include the SPI IP (DW_ssi) configured as slave</t>
  </si>
  <si>
    <t>Include prefetcher?</t>
  </si>
  <si>
    <t>Include prefetching logic on the CPU Data port to reduce memory latency impact</t>
  </si>
  <si>
    <t>Include a UART IP (DW_uart) configured with DMA support, bringing out all modem signals</t>
  </si>
  <si>
    <t>Include a UART IP (DW_uart) configured with DMA support, limited modem interface (RTS/CTS only)</t>
  </si>
  <si>
    <t>Include UART with DMA and full modem interface?</t>
  </si>
  <si>
    <t>Include UART with DMA?</t>
  </si>
  <si>
    <t>Include UART?</t>
  </si>
  <si>
    <t>Include a UART IP (DW_uart) configured without DMA support, limited modem interface (RTS/CTS only)</t>
  </si>
  <si>
    <t>Include UART with IrDA support?</t>
  </si>
  <si>
    <t>Include a UART IP (DW_uart) configured without DMA support, with IrDA (SIR support), no modem signals</t>
  </si>
  <si>
    <t>Boot-Rom size</t>
  </si>
  <si>
    <t>0/32KB/64KB/128KB</t>
  </si>
  <si>
    <t>Scratchpad RAM size</t>
  </si>
  <si>
    <t>Size of boot ROM (0 = remove boot ROM)</t>
  </si>
  <si>
    <t>Size of scratchpad RAM (0 = remove RAM)</t>
  </si>
  <si>
    <t>Embedded Memory Parameters</t>
  </si>
  <si>
    <t>SPIS</t>
  </si>
  <si>
    <t>20-31</t>
  </si>
  <si>
    <t>DISPLAY</t>
  </si>
  <si>
    <t>CAMERA</t>
  </si>
  <si>
    <t>UARTDMA</t>
  </si>
  <si>
    <t>UARTIRDA</t>
  </si>
  <si>
    <t>UARTPLAIN</t>
  </si>
  <si>
    <t>SPIDMA0</t>
  </si>
  <si>
    <t>SPIDMA1</t>
  </si>
  <si>
    <t>SPIPLAIN0</t>
  </si>
  <si>
    <t>SPIPLAIN1</t>
  </si>
  <si>
    <t>I2STx24b</t>
  </si>
  <si>
    <t>I2STx16b</t>
  </si>
  <si>
    <t>I2SRx24b</t>
  </si>
  <si>
    <t>I2SRx16b</t>
  </si>
  <si>
    <t>I2SSTx24b</t>
  </si>
  <si>
    <t>I2SSTx16b</t>
  </si>
  <si>
    <t>I2SSRx24b</t>
  </si>
  <si>
    <t>I2SSRx16b</t>
  </si>
  <si>
    <t>REF_WDT</t>
  </si>
  <si>
    <t>REF_UART</t>
  </si>
  <si>
    <t>REF_I2C</t>
  </si>
  <si>
    <t>REF_SPI</t>
  </si>
  <si>
    <t>REF_SPIS</t>
  </si>
  <si>
    <t>REF_I2S</t>
  </si>
  <si>
    <t>REF_I2SS</t>
  </si>
  <si>
    <t>38-63</t>
  </si>
  <si>
    <t>Include 16b I2S Rx slave?</t>
  </si>
  <si>
    <t>Include 16b I2S Tx slave?</t>
  </si>
  <si>
    <t>Include the I2S IP (DW_i2s) configured for receive mode, clock slave and 16-bit data</t>
  </si>
  <si>
    <t>Include the I2S IP (DW_i2s) configured for transmit mode, clock slave and 16-bit data</t>
  </si>
  <si>
    <t>SPI slave</t>
  </si>
  <si>
    <t>Reference design UART</t>
  </si>
  <si>
    <t>Reference design SPI slave</t>
  </si>
  <si>
    <t>Reference design SPI master</t>
  </si>
  <si>
    <t>Reference design I2C</t>
  </si>
  <si>
    <t>Reference design I2S master</t>
  </si>
  <si>
    <t>Reference design I2S slave</t>
  </si>
  <si>
    <t>ARC BOOT ROM, aperture can be overloaded through reference GPIO</t>
  </si>
  <si>
    <t>0x01000000</t>
  </si>
  <si>
    <t>0x01FFFFFF</t>
  </si>
  <si>
    <t>0x00FFFFFF</t>
  </si>
  <si>
    <t>0x02000000</t>
  </si>
  <si>
    <t>Embedded SRAM, in always on power domain</t>
  </si>
  <si>
    <t>0x20000000</t>
  </si>
  <si>
    <t>0x3FFFFFFF</t>
  </si>
  <si>
    <t>0x1FFFFFFF</t>
  </si>
  <si>
    <t>0x40000000</t>
  </si>
  <si>
    <t>SDRAM extended address space</t>
  </si>
  <si>
    <t>0xC0046000</t>
  </si>
  <si>
    <t>0xC0047FFF</t>
  </si>
  <si>
    <t>0xC0045FFF</t>
  </si>
  <si>
    <t>0xC0029FFF</t>
  </si>
  <si>
    <t>SPI1, master, DMA</t>
  </si>
  <si>
    <t>SPI0, master, DMA</t>
  </si>
  <si>
    <t>SPI2, master</t>
  </si>
  <si>
    <t>SPI3, master</t>
  </si>
  <si>
    <t>Reserved for future SPIs</t>
  </si>
  <si>
    <t>0xC002A000</t>
  </si>
  <si>
    <t>0xC0048000</t>
  </si>
  <si>
    <t>0xC004A000</t>
  </si>
  <si>
    <t>0xC004C000</t>
  </si>
  <si>
    <t>0xC004E000</t>
  </si>
  <si>
    <t>0xC0049FFF</t>
  </si>
  <si>
    <t>0xC004BFFF</t>
  </si>
  <si>
    <t>0xC004DFFF</t>
  </si>
  <si>
    <t>Reserved for future GPIOs</t>
  </si>
  <si>
    <t>USB Device control interface</t>
  </si>
  <si>
    <t>SDRAM aperture 0</t>
  </si>
  <si>
    <t>0xC4003FFF</t>
  </si>
  <si>
    <t>0xC4004000</t>
  </si>
  <si>
    <t>0xC5003FFF</t>
  </si>
  <si>
    <t>0xC5004000</t>
  </si>
  <si>
    <t>16368KB</t>
  </si>
  <si>
    <t>16KB</t>
  </si>
  <si>
    <t>0xC6004000</t>
  </si>
  <si>
    <t>0xC6003FFF</t>
  </si>
  <si>
    <t>REF_EXT_MEM</t>
  </si>
  <si>
    <t>REF_EXT_PERI</t>
  </si>
  <si>
    <t>Slave address space for reference design external slave port, memory aperture</t>
  </si>
  <si>
    <t>Slave address space for reference design external slave port, peripheral aperture</t>
  </si>
  <si>
    <t>Reference design UART for loopback testing</t>
  </si>
  <si>
    <t>Reference design SPI slave for loopback testing</t>
  </si>
  <si>
    <t>Reference design SPI master for loopback testing</t>
  </si>
  <si>
    <t>Reference design I2C for loopback testing</t>
  </si>
  <si>
    <t>Reference design I2S for loopback testing</t>
  </si>
  <si>
    <t>Reference design I2S slave for loopback testing</t>
  </si>
  <si>
    <t>REF_DDR_CTRL</t>
  </si>
  <si>
    <t>0xE3004000</t>
  </si>
  <si>
    <t>REF_FLASH_MEM</t>
  </si>
  <si>
    <t>0x10000000</t>
  </si>
  <si>
    <t>Reference design flash memory aperture</t>
  </si>
  <si>
    <t>0x0FFFFFFF</t>
  </si>
  <si>
    <t>DISPLAY_PGU</t>
  </si>
  <si>
    <t>Reserved for display PHY control</t>
  </si>
  <si>
    <t>CAMERA_ITU</t>
  </si>
  <si>
    <t>Reserved for camera PHY control</t>
  </si>
  <si>
    <t>0xE2004000</t>
  </si>
  <si>
    <t>0xE2003FFF</t>
  </si>
  <si>
    <t>0xE3006000</t>
  </si>
  <si>
    <t>0xE3008000</t>
  </si>
  <si>
    <t>0xE300A000</t>
  </si>
  <si>
    <t>REF_FLASH_CTRL</t>
  </si>
  <si>
    <t>0xE3003FFF</t>
  </si>
  <si>
    <t>0xE3005FFF</t>
  </si>
  <si>
    <t>0xE3007FFF</t>
  </si>
  <si>
    <t>0xE3009FFF</t>
  </si>
  <si>
    <t>0xE300BFFF</t>
  </si>
  <si>
    <t>0xE300DFFF</t>
  </si>
  <si>
    <t>0xE300C000</t>
  </si>
  <si>
    <t>Reference design Flash control port</t>
  </si>
  <si>
    <t>0xE300E000</t>
  </si>
  <si>
    <t>16328KB</t>
  </si>
  <si>
    <t>Reference design Ethernet MAC control port</t>
  </si>
  <si>
    <t>448MB</t>
  </si>
  <si>
    <t>32728KB</t>
  </si>
  <si>
    <t>Reserved for future always on, reference peripherals</t>
  </si>
  <si>
    <t>0xE2010000</t>
  </si>
  <si>
    <t>0xE2013FFF</t>
  </si>
  <si>
    <t>0xE200FFFF</t>
  </si>
  <si>
    <t>0xE2014000</t>
  </si>
  <si>
    <t>16304KB</t>
  </si>
  <si>
    <t>Reference design AXI periperals</t>
  </si>
  <si>
    <t>Reference design always on APB periperals</t>
  </si>
  <si>
    <t>Reference design APB loop-back periperals</t>
  </si>
  <si>
    <t>0xE0FFFFFF</t>
  </si>
  <si>
    <t>0xE1000000</t>
  </si>
  <si>
    <t>Reserved space</t>
  </si>
  <si>
    <t>Boot ROM aperture</t>
  </si>
  <si>
    <t>Reference design flash memory space</t>
  </si>
  <si>
    <t>Reference design external slave memory space</t>
  </si>
  <si>
    <t>Reference design external slave control space</t>
  </si>
  <si>
    <t>Embedded SRAM aperture</t>
  </si>
  <si>
    <t>Reference design SDRAM aperture 0</t>
  </si>
  <si>
    <t>Reference design SDRAM aperture 1</t>
  </si>
  <si>
    <t>Reserved space for reference design AXI peripherals</t>
  </si>
  <si>
    <t>18-31</t>
  </si>
  <si>
    <t>HSIC</t>
  </si>
  <si>
    <t>High-speed I2C</t>
  </si>
  <si>
    <t>FSIC</t>
  </si>
  <si>
    <t>Reset vector</t>
  </si>
  <si>
    <t>Memory error</t>
  </si>
  <si>
    <t>Instruction error</t>
  </si>
  <si>
    <t>Timer0 time-out</t>
  </si>
  <si>
    <t>Timer1 time-out</t>
  </si>
  <si>
    <t>USB OTG host</t>
  </si>
  <si>
    <t>USB OTG device</t>
  </si>
  <si>
    <t>Display PGU</t>
  </si>
  <si>
    <t>Camera ITU</t>
  </si>
  <si>
    <t>SDIO card</t>
  </si>
  <si>
    <t>DMA controller</t>
  </si>
  <si>
    <t>UART0, modem capable</t>
  </si>
  <si>
    <t>Cascaded interrupt controller</t>
  </si>
  <si>
    <t>UARTMDM</t>
  </si>
  <si>
    <t>REF_GMAC</t>
  </si>
  <si>
    <t>Watch-dog timer</t>
  </si>
  <si>
    <t>Ethernet MAC</t>
  </si>
  <si>
    <t>UART, DMA capable</t>
  </si>
  <si>
    <t>UART, IrDA capable</t>
  </si>
  <si>
    <t>UART, plain</t>
  </si>
  <si>
    <t>SPI master, no DMA capable</t>
  </si>
  <si>
    <t>SPI master, DMA capable</t>
  </si>
  <si>
    <t>SPI slave, no DMA capable</t>
  </si>
  <si>
    <t>Full-speed I2C</t>
  </si>
  <si>
    <t>I2S master, transmit, 24b, DMA cap</t>
  </si>
  <si>
    <t>I2S master, receive, 24b, DMA cap</t>
  </si>
  <si>
    <t>I2S master, transmit, 16b, no DMA</t>
  </si>
  <si>
    <t>I2S master, receive, 16b, no DMA</t>
  </si>
  <si>
    <t>I2S slave, transmit, 24b, DMA cap</t>
  </si>
  <si>
    <t>I2S slave, transmit, 16b, no DMA</t>
  </si>
  <si>
    <t>I2S slave, receive, 24b, DMA cap</t>
  </si>
  <si>
    <t>I2S slave, receive, 16b, no DMA</t>
  </si>
  <si>
    <t>General purpose I/O</t>
  </si>
  <si>
    <t>BOOTROM_S</t>
  </si>
  <si>
    <t>EMBRAM_S</t>
  </si>
  <si>
    <t>REF_DDR_AP1</t>
  </si>
  <si>
    <t>REF_DDR_AP0</t>
  </si>
  <si>
    <t>UART0_S</t>
  </si>
  <si>
    <t>UART1_S</t>
  </si>
  <si>
    <t>UART3_S</t>
  </si>
  <si>
    <t>UART2_S</t>
  </si>
  <si>
    <t>I2C0_S</t>
  </si>
  <si>
    <t>I2C1_S</t>
  </si>
  <si>
    <t>SPI0_S</t>
  </si>
  <si>
    <t>SPI1_S</t>
  </si>
  <si>
    <t>SPI2_S</t>
  </si>
  <si>
    <t>SPI3_S</t>
  </si>
  <si>
    <t>SPIS_S</t>
  </si>
  <si>
    <t>I2STX0_S</t>
  </si>
  <si>
    <t>I2STX1_S</t>
  </si>
  <si>
    <t>I2SRX0_S</t>
  </si>
  <si>
    <t>I2SRX1_S</t>
  </si>
  <si>
    <t>I2SSTX0_S</t>
  </si>
  <si>
    <t>I2SSTX1_S</t>
  </si>
  <si>
    <t>I2SSRX0_S</t>
  </si>
  <si>
    <t>I2SSRX1_S</t>
  </si>
  <si>
    <t>GPIO_S</t>
  </si>
  <si>
    <t>RTC0_S</t>
  </si>
  <si>
    <t>INTC_S</t>
  </si>
  <si>
    <t>REF_CLKRST_S</t>
  </si>
  <si>
    <t>REF_WDT_S</t>
  </si>
  <si>
    <t>REF_POWEV_S</t>
  </si>
  <si>
    <t>REF_GPIO_S</t>
  </si>
  <si>
    <t>REF_PWRM_S</t>
  </si>
  <si>
    <t>REF_GMAC_S</t>
  </si>
  <si>
    <t>REF_UART_S</t>
  </si>
  <si>
    <t>REF_SPI_S</t>
  </si>
  <si>
    <t>REF_SPIS_S</t>
  </si>
  <si>
    <t>REF_I2C_S</t>
  </si>
  <si>
    <t>REF_I2S_S</t>
  </si>
  <si>
    <t>REF_I2SS_S</t>
  </si>
  <si>
    <t>REF_APB_AP</t>
  </si>
  <si>
    <t>REF_AXI_AP</t>
  </si>
  <si>
    <t>REF_ALWAYS_AP</t>
  </si>
  <si>
    <t>REF_EXT_PERI_AP</t>
  </si>
  <si>
    <t>RT_PERI_AP</t>
  </si>
  <si>
    <t>CONN_PERI_AP</t>
  </si>
  <si>
    <t>ALWAYS_PERI_AP</t>
  </si>
  <si>
    <t>APB_PERI_AP</t>
  </si>
  <si>
    <t>CPU_PERI_AP</t>
  </si>
  <si>
    <t>CPU specific peripherals aperture</t>
  </si>
  <si>
    <t>EMBRAM_AP</t>
  </si>
  <si>
    <t>BOOTROM_AP</t>
  </si>
  <si>
    <t>UARTMDM_TX</t>
  </si>
  <si>
    <t>UARTMDM_RX</t>
  </si>
  <si>
    <t>UARTDMA_TX</t>
  </si>
  <si>
    <t>UARTDMA_RX</t>
  </si>
  <si>
    <t>HSIC_TX</t>
  </si>
  <si>
    <t>HSIC_RX</t>
  </si>
  <si>
    <t>SPI0_TX</t>
  </si>
  <si>
    <t>SPI0_RX</t>
  </si>
  <si>
    <t>SPI1_TX</t>
  </si>
  <si>
    <t>SPI1_RX</t>
  </si>
  <si>
    <t>I2S_TX</t>
  </si>
  <si>
    <t>I2S_RX</t>
  </si>
  <si>
    <t>I2SS_TX</t>
  </si>
  <si>
    <t>I2SS_RX</t>
  </si>
  <si>
    <t>0x08000000</t>
  </si>
  <si>
    <t>0x07FFFFFF</t>
  </si>
  <si>
    <t>ARC770D native interrupts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</si>
</sst>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249977111117893"/>
        <b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D7775"/>
        <bgColor indexed="64"/>
      </patternFill>
    </fill>
    <fill>
      <patternFill patternType="solid">
        <fgColor theme="7" tint="0.39997558519241921"/>
        <bgColor theme="4"/>
      </patternFill>
    </fill>
    <fill>
      <patternFill patternType="solid">
        <fgColor rgb="FF5078F1"/>
        <bgColor indexed="64"/>
      </patternFill>
    </fill>
    <fill>
      <patternFill patternType="solid">
        <fgColor rgb="FF5582F1"/>
        <bgColor indexed="64"/>
      </patternFill>
    </fill>
    <fill>
      <patternFill patternType="solid">
        <fgColor rgb="FF5A8CF1"/>
        <bgColor indexed="64"/>
      </patternFill>
    </fill>
    <fill>
      <patternFill patternType="solid">
        <fgColor rgb="FF5F96F1"/>
        <bgColor indexed="64"/>
      </patternFill>
    </fill>
    <fill>
      <patternFill patternType="solid">
        <fgColor rgb="FF64A0F1"/>
        <bgColor indexed="64"/>
      </patternFill>
    </fill>
    <fill>
      <patternFill patternType="solid">
        <fgColor rgb="FF69AAF1"/>
        <bgColor indexed="64"/>
      </patternFill>
    </fill>
    <fill>
      <patternFill patternType="solid">
        <fgColor rgb="FF73B4F1"/>
        <bgColor indexed="64"/>
      </patternFill>
    </fill>
    <fill>
      <patternFill patternType="solid">
        <fgColor rgb="FF78BEF1"/>
        <bgColor indexed="64"/>
      </patternFill>
    </fill>
    <fill>
      <patternFill patternType="solid">
        <fgColor rgb="FF7DC8F1"/>
        <bgColor indexed="64"/>
      </patternFill>
    </fill>
    <fill>
      <patternFill patternType="solid">
        <fgColor rgb="FF82D2F1"/>
        <bgColor indexed="64"/>
      </patternFill>
    </fill>
    <fill>
      <patternFill patternType="solid">
        <fgColor rgb="FF7DDCF1"/>
        <bgColor indexed="64"/>
      </patternFill>
    </fill>
    <fill>
      <patternFill patternType="solid">
        <fgColor rgb="FF8CE5F1"/>
        <bgColor indexed="64"/>
      </patternFill>
    </fill>
    <fill>
      <patternFill patternType="solid">
        <fgColor rgb="FFCBDCA8"/>
        <bgColor indexed="64"/>
      </patternFill>
    </fill>
    <fill>
      <patternFill patternType="solid">
        <fgColor rgb="FFD2E1B5"/>
        <bgColor indexed="64"/>
      </patternFill>
    </fill>
    <fill>
      <patternFill patternType="solid">
        <fgColor rgb="FFD7E4BE"/>
        <bgColor indexed="64"/>
      </patternFill>
    </fill>
    <fill>
      <patternFill patternType="solid">
        <fgColor rgb="FFE1EACE"/>
        <bgColor indexed="64"/>
      </patternFill>
    </fill>
    <fill>
      <patternFill patternType="solid">
        <fgColor rgb="FFEBF1DF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" fillId="5" borderId="10" xfId="0" applyFont="1" applyFill="1" applyBorder="1" applyAlignment="1">
      <alignment wrapText="1"/>
    </xf>
    <xf numFmtId="0" fontId="1" fillId="5" borderId="11" xfId="0" applyFont="1" applyFill="1" applyBorder="1" applyAlignment="1">
      <alignment horizontal="center" wrapText="1"/>
    </xf>
    <xf numFmtId="0" fontId="1" fillId="5" borderId="12" xfId="0" applyFont="1" applyFill="1" applyBorder="1" applyAlignment="1">
      <alignment horizontal="center" wrapText="1"/>
    </xf>
    <xf numFmtId="0" fontId="0" fillId="2" borderId="1" xfId="0" applyFill="1" applyBorder="1" applyAlignment="1">
      <alignment horizontal="right" wrapText="1"/>
    </xf>
    <xf numFmtId="0" fontId="2" fillId="6" borderId="2" xfId="0" applyFont="1" applyFill="1" applyBorder="1" applyAlignment="1">
      <alignment wrapText="1"/>
    </xf>
    <xf numFmtId="0" fontId="2" fillId="6" borderId="4" xfId="0" applyFont="1" applyFill="1" applyBorder="1" applyAlignment="1">
      <alignment horizontal="center" wrapText="1"/>
    </xf>
    <xf numFmtId="0" fontId="0" fillId="3" borderId="5" xfId="0" applyFill="1" applyBorder="1" applyAlignment="1">
      <alignment wrapText="1"/>
    </xf>
    <xf numFmtId="0" fontId="0" fillId="3" borderId="7" xfId="0" applyFill="1" applyBorder="1" applyAlignment="1">
      <alignment wrapText="1"/>
    </xf>
    <xf numFmtId="0" fontId="0" fillId="4" borderId="5" xfId="0" applyFill="1" applyBorder="1" applyAlignment="1">
      <alignment wrapText="1"/>
    </xf>
    <xf numFmtId="0" fontId="0" fillId="4" borderId="7" xfId="0" applyFill="1" applyBorder="1" applyAlignment="1">
      <alignment wrapText="1"/>
    </xf>
    <xf numFmtId="0" fontId="2" fillId="6" borderId="3" xfId="0" applyFont="1" applyFill="1" applyBorder="1" applyAlignment="1">
      <alignment horizontal="center" wrapText="1"/>
    </xf>
    <xf numFmtId="0" fontId="0" fillId="2" borderId="6" xfId="0" applyFill="1" applyBorder="1" applyAlignment="1">
      <alignment wrapText="1"/>
    </xf>
    <xf numFmtId="0" fontId="0" fillId="2" borderId="8" xfId="0" applyFill="1" applyBorder="1" applyAlignment="1">
      <alignment horizontal="right" wrapText="1"/>
    </xf>
    <xf numFmtId="0" fontId="0" fillId="2" borderId="9" xfId="0" applyFill="1" applyBorder="1" applyAlignment="1">
      <alignment wrapText="1"/>
    </xf>
    <xf numFmtId="0" fontId="0" fillId="2" borderId="6" xfId="0" applyFill="1" applyBorder="1" applyAlignment="1">
      <alignment horizontal="left" wrapText="1"/>
    </xf>
    <xf numFmtId="0" fontId="0" fillId="2" borderId="1" xfId="0" applyFill="1" applyBorder="1" applyAlignment="1">
      <alignment horizontal="right"/>
    </xf>
    <xf numFmtId="0" fontId="0" fillId="2" borderId="6" xfId="0" applyFill="1" applyBorder="1"/>
    <xf numFmtId="0" fontId="0" fillId="2" borderId="8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9" xfId="0" applyFill="1" applyBorder="1" applyAlignment="1">
      <alignment horizontal="left" wrapText="1"/>
    </xf>
    <xf numFmtId="0" fontId="2" fillId="6" borderId="14" xfId="0" applyFont="1" applyFill="1" applyBorder="1" applyAlignment="1">
      <alignment wrapText="1"/>
    </xf>
    <xf numFmtId="0" fontId="2" fillId="6" borderId="15" xfId="0" applyFont="1" applyFill="1" applyBorder="1" applyAlignment="1">
      <alignment horizontal="center" wrapText="1"/>
    </xf>
    <xf numFmtId="0" fontId="2" fillId="6" borderId="16" xfId="0" applyFont="1" applyFill="1" applyBorder="1" applyAlignment="1">
      <alignment horizontal="center" wrapText="1"/>
    </xf>
    <xf numFmtId="0" fontId="0" fillId="4" borderId="2" xfId="0" applyFill="1" applyBorder="1" applyAlignment="1">
      <alignment wrapText="1"/>
    </xf>
    <xf numFmtId="0" fontId="0" fillId="2" borderId="3" xfId="0" applyFill="1" applyBorder="1" applyAlignment="1">
      <alignment horizontal="right" wrapText="1"/>
    </xf>
    <xf numFmtId="0" fontId="0" fillId="2" borderId="4" xfId="0" applyFill="1" applyBorder="1" applyAlignment="1">
      <alignment wrapText="1"/>
    </xf>
    <xf numFmtId="0" fontId="0" fillId="2" borderId="1" xfId="0" applyFill="1" applyBorder="1" applyAlignment="1">
      <alignment horizontal="center" wrapText="1"/>
    </xf>
    <xf numFmtId="0" fontId="0" fillId="2" borderId="8" xfId="0" applyFill="1" applyBorder="1" applyAlignment="1">
      <alignment horizontal="center" wrapText="1"/>
    </xf>
    <xf numFmtId="0" fontId="0" fillId="3" borderId="5" xfId="0" applyFill="1" applyBorder="1"/>
    <xf numFmtId="0" fontId="0" fillId="3" borderId="7" xfId="0" applyFill="1" applyBorder="1"/>
    <xf numFmtId="0" fontId="0" fillId="2" borderId="6" xfId="0" applyFill="1" applyBorder="1" applyAlignment="1">
      <alignment horizontal="right"/>
    </xf>
    <xf numFmtId="0" fontId="0" fillId="2" borderId="9" xfId="0" applyFill="1" applyBorder="1" applyAlignment="1">
      <alignment horizontal="right"/>
    </xf>
    <xf numFmtId="0" fontId="4" fillId="5" borderId="2" xfId="0" applyFont="1" applyFill="1" applyBorder="1"/>
    <xf numFmtId="0" fontId="4" fillId="5" borderId="3" xfId="0" applyFont="1" applyFill="1" applyBorder="1"/>
    <xf numFmtId="0" fontId="4" fillId="5" borderId="4" xfId="0" applyFont="1" applyFill="1" applyBorder="1"/>
    <xf numFmtId="0" fontId="0" fillId="2" borderId="6" xfId="0" applyFill="1" applyBorder="1" applyAlignment="1">
      <alignment horizontal="right" wrapText="1"/>
    </xf>
    <xf numFmtId="0" fontId="0" fillId="2" borderId="1" xfId="0" applyFill="1" applyBorder="1" applyAlignment="1">
      <alignment horizontal="center"/>
    </xf>
    <xf numFmtId="0" fontId="4" fillId="5" borderId="14" xfId="0" applyFont="1" applyFill="1" applyBorder="1"/>
    <xf numFmtId="0" fontId="4" fillId="5" borderId="16" xfId="0" applyFont="1" applyFill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17" xfId="0" applyBorder="1"/>
    <xf numFmtId="0" fontId="0" fillId="2" borderId="6" xfId="0" applyFill="1" applyBorder="1" applyAlignment="1">
      <alignment horizontal="center" wrapText="1"/>
    </xf>
    <xf numFmtId="0" fontId="0" fillId="2" borderId="9" xfId="0" applyFill="1" applyBorder="1" applyAlignment="1">
      <alignment horizontal="center" wrapText="1"/>
    </xf>
    <xf numFmtId="0" fontId="0" fillId="2" borderId="1" xfId="0" applyFill="1" applyBorder="1" applyAlignment="1">
      <alignment horizontal="left" wrapText="1"/>
    </xf>
    <xf numFmtId="0" fontId="0" fillId="2" borderId="8" xfId="0" applyFill="1" applyBorder="1" applyAlignment="1">
      <alignment horizontal="left" wrapText="1"/>
    </xf>
    <xf numFmtId="0" fontId="0" fillId="4" borderId="18" xfId="0" applyFill="1" applyBorder="1" applyAlignment="1">
      <alignment wrapText="1"/>
    </xf>
    <xf numFmtId="0" fontId="0" fillId="2" borderId="13" xfId="0" applyFill="1" applyBorder="1" applyAlignment="1">
      <alignment horizontal="left" wrapText="1"/>
    </xf>
    <xf numFmtId="0" fontId="0" fillId="2" borderId="19" xfId="0" applyFill="1" applyBorder="1" applyAlignment="1">
      <alignment wrapText="1"/>
    </xf>
    <xf numFmtId="0" fontId="2" fillId="6" borderId="0" xfId="0" applyFont="1" applyFill="1" applyBorder="1" applyAlignment="1">
      <alignment horizontal="center" wrapText="1"/>
    </xf>
    <xf numFmtId="0" fontId="0" fillId="3" borderId="1" xfId="0" applyFill="1" applyBorder="1" applyAlignment="1">
      <alignment horizontal="center" wrapText="1"/>
    </xf>
    <xf numFmtId="0" fontId="0" fillId="3" borderId="6" xfId="0" applyFill="1" applyBorder="1" applyAlignment="1">
      <alignment horizontal="left" wrapText="1"/>
    </xf>
    <xf numFmtId="0" fontId="0" fillId="7" borderId="5" xfId="0" applyFill="1" applyBorder="1" applyAlignment="1">
      <alignment wrapText="1"/>
    </xf>
    <xf numFmtId="0" fontId="0" fillId="7" borderId="1" xfId="0" applyFill="1" applyBorder="1" applyAlignment="1">
      <alignment horizontal="center" wrapText="1"/>
    </xf>
    <xf numFmtId="0" fontId="0" fillId="7" borderId="6" xfId="0" applyFill="1" applyBorder="1" applyAlignment="1">
      <alignment horizontal="left" wrapText="1"/>
    </xf>
    <xf numFmtId="0" fontId="0" fillId="8" borderId="5" xfId="0" applyFill="1" applyBorder="1" applyAlignment="1">
      <alignment wrapText="1"/>
    </xf>
    <xf numFmtId="0" fontId="0" fillId="8" borderId="1" xfId="0" applyFill="1" applyBorder="1" applyAlignment="1">
      <alignment horizontal="center" wrapText="1"/>
    </xf>
    <xf numFmtId="0" fontId="0" fillId="8" borderId="6" xfId="0" applyFill="1" applyBorder="1" applyAlignment="1">
      <alignment horizontal="left" wrapText="1"/>
    </xf>
    <xf numFmtId="0" fontId="0" fillId="9" borderId="7" xfId="0" applyFill="1" applyBorder="1" applyAlignment="1">
      <alignment wrapText="1"/>
    </xf>
    <xf numFmtId="0" fontId="0" fillId="9" borderId="8" xfId="0" applyFill="1" applyBorder="1" applyAlignment="1">
      <alignment horizontal="center" wrapText="1"/>
    </xf>
    <xf numFmtId="0" fontId="0" fillId="9" borderId="9" xfId="0" applyFill="1" applyBorder="1" applyAlignment="1">
      <alignment horizontal="left" wrapText="1"/>
    </xf>
    <xf numFmtId="0" fontId="0" fillId="9" borderId="5" xfId="0" applyFill="1" applyBorder="1" applyAlignment="1">
      <alignment wrapText="1"/>
    </xf>
    <xf numFmtId="0" fontId="0" fillId="9" borderId="1" xfId="0" applyFill="1" applyBorder="1" applyAlignment="1">
      <alignment horizontal="center" wrapText="1"/>
    </xf>
    <xf numFmtId="0" fontId="0" fillId="9" borderId="6" xfId="0" applyFill="1" applyBorder="1" applyAlignment="1">
      <alignment horizontal="left" wrapText="1"/>
    </xf>
    <xf numFmtId="0" fontId="0" fillId="10" borderId="5" xfId="0" applyFill="1" applyBorder="1" applyAlignment="1">
      <alignment wrapText="1"/>
    </xf>
    <xf numFmtId="0" fontId="0" fillId="10" borderId="1" xfId="0" applyFill="1" applyBorder="1" applyAlignment="1">
      <alignment horizontal="center" wrapText="1"/>
    </xf>
    <xf numFmtId="0" fontId="0" fillId="10" borderId="6" xfId="0" applyFill="1" applyBorder="1" applyAlignment="1">
      <alignment horizontal="left" wrapText="1"/>
    </xf>
    <xf numFmtId="0" fontId="4" fillId="5" borderId="2" xfId="0" applyFont="1" applyFill="1" applyBorder="1" applyAlignment="1">
      <alignment horizontal="center" wrapText="1"/>
    </xf>
    <xf numFmtId="0" fontId="4" fillId="5" borderId="4" xfId="0" applyFont="1" applyFill="1" applyBorder="1" applyAlignment="1">
      <alignment horizontal="center"/>
    </xf>
    <xf numFmtId="0" fontId="0" fillId="4" borderId="5" xfId="0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0" fontId="4" fillId="5" borderId="3" xfId="0" applyFont="1" applyFill="1" applyBorder="1" applyAlignment="1">
      <alignment horizontal="center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left" wrapText="1"/>
    </xf>
    <xf numFmtId="0" fontId="6" fillId="5" borderId="2" xfId="0" applyFont="1" applyFill="1" applyBorder="1" applyAlignment="1">
      <alignment horizontal="center" wrapText="1"/>
    </xf>
    <xf numFmtId="0" fontId="6" fillId="5" borderId="3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49" fontId="0" fillId="2" borderId="1" xfId="0" applyNumberFormat="1" applyFill="1" applyBorder="1" applyAlignment="1">
      <alignment horizontal="right"/>
    </xf>
    <xf numFmtId="49" fontId="0" fillId="2" borderId="6" xfId="0" applyNumberFormat="1" applyFill="1" applyBorder="1" applyAlignment="1">
      <alignment horizontal="right"/>
    </xf>
    <xf numFmtId="0" fontId="4" fillId="5" borderId="4" xfId="0" applyFont="1" applyFill="1" applyBorder="1" applyAlignment="1">
      <alignment wrapText="1"/>
    </xf>
    <xf numFmtId="0" fontId="4" fillId="5" borderId="3" xfId="0" applyFon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0" borderId="0" xfId="0" applyAlignment="1">
      <alignment horizontal="center"/>
    </xf>
    <xf numFmtId="9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" fontId="0" fillId="2" borderId="1" xfId="0" applyNumberFormat="1" applyFill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0" fontId="0" fillId="4" borderId="2" xfId="0" applyFill="1" applyBorder="1"/>
    <xf numFmtId="0" fontId="0" fillId="4" borderId="4" xfId="0" applyFill="1" applyBorder="1"/>
    <xf numFmtId="0" fontId="0" fillId="2" borderId="8" xfId="0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9" fontId="0" fillId="2" borderId="8" xfId="0" applyNumberFormat="1" applyFill="1" applyBorder="1" applyAlignment="1">
      <alignment horizontal="center"/>
    </xf>
    <xf numFmtId="0" fontId="0" fillId="4" borderId="3" xfId="0" applyFill="1" applyBorder="1" applyAlignment="1">
      <alignment horizontal="center" wrapText="1"/>
    </xf>
    <xf numFmtId="164" fontId="0" fillId="0" borderId="0" xfId="0" applyNumberFormat="1"/>
    <xf numFmtId="0" fontId="7" fillId="5" borderId="1" xfId="0" applyFont="1" applyFill="1" applyBorder="1" applyAlignment="1">
      <alignment wrapText="1"/>
    </xf>
    <xf numFmtId="0" fontId="0" fillId="2" borderId="1" xfId="0" applyFill="1" applyBorder="1" applyAlignment="1">
      <alignment wrapText="1"/>
    </xf>
    <xf numFmtId="0" fontId="7" fillId="5" borderId="2" xfId="0" applyFont="1" applyFill="1" applyBorder="1" applyAlignment="1">
      <alignment wrapText="1"/>
    </xf>
    <xf numFmtId="0" fontId="7" fillId="5" borderId="3" xfId="0" applyFont="1" applyFill="1" applyBorder="1" applyAlignment="1">
      <alignment wrapText="1"/>
    </xf>
    <xf numFmtId="0" fontId="7" fillId="5" borderId="4" xfId="0" applyFont="1" applyFill="1" applyBorder="1" applyAlignment="1">
      <alignment wrapText="1"/>
    </xf>
    <xf numFmtId="0" fontId="0" fillId="2" borderId="8" xfId="0" applyFill="1" applyBorder="1" applyAlignment="1">
      <alignment wrapText="1"/>
    </xf>
    <xf numFmtId="49" fontId="0" fillId="2" borderId="1" xfId="0" applyNumberFormat="1" applyFill="1" applyBorder="1" applyAlignment="1">
      <alignment wrapText="1"/>
    </xf>
    <xf numFmtId="0" fontId="7" fillId="5" borderId="5" xfId="0" applyFont="1" applyFill="1" applyBorder="1" applyAlignment="1">
      <alignment wrapText="1"/>
    </xf>
    <xf numFmtId="0" fontId="7" fillId="5" borderId="6" xfId="0" applyFont="1" applyFill="1" applyBorder="1" applyAlignment="1">
      <alignment wrapText="1"/>
    </xf>
    <xf numFmtId="49" fontId="0" fillId="2" borderId="8" xfId="0" applyNumberFormat="1" applyFill="1" applyBorder="1" applyAlignment="1">
      <alignment wrapText="1"/>
    </xf>
    <xf numFmtId="0" fontId="0" fillId="0" borderId="0" xfId="0" applyAlignment="1">
      <alignment horizontal="center"/>
    </xf>
    <xf numFmtId="0" fontId="0" fillId="3" borderId="5" xfId="0" applyFill="1" applyBorder="1" applyAlignment="1">
      <alignment horizontal="left" vertical="top" wrapText="1"/>
    </xf>
    <xf numFmtId="0" fontId="0" fillId="2" borderId="6" xfId="0" applyFill="1" applyBorder="1" applyAlignment="1">
      <alignment horizontal="left" vertical="top" wrapText="1"/>
    </xf>
    <xf numFmtId="0" fontId="0" fillId="2" borderId="1" xfId="0" applyFill="1" applyBorder="1" applyAlignment="1">
      <alignment horizontal="center" vertical="top" wrapText="1"/>
    </xf>
    <xf numFmtId="0" fontId="0" fillId="2" borderId="1" xfId="0" applyFill="1" applyBorder="1" applyAlignment="1">
      <alignment horizontal="center" vertical="top" wrapText="1"/>
    </xf>
    <xf numFmtId="0" fontId="2" fillId="6" borderId="2" xfId="0" applyFont="1" applyFill="1" applyBorder="1" applyAlignment="1">
      <alignment horizontal="center" vertical="top" wrapText="1"/>
    </xf>
    <xf numFmtId="0" fontId="2" fillId="6" borderId="4" xfId="0" applyFont="1" applyFill="1" applyBorder="1" applyAlignment="1">
      <alignment horizontal="center" vertical="top" wrapText="1"/>
    </xf>
    <xf numFmtId="0" fontId="2" fillId="6" borderId="3" xfId="0" applyFont="1" applyFill="1" applyBorder="1" applyAlignment="1">
      <alignment horizontal="center" vertical="top" wrapText="1"/>
    </xf>
    <xf numFmtId="0" fontId="0" fillId="3" borderId="5" xfId="0" applyFill="1" applyBorder="1" applyAlignment="1">
      <alignment horizontal="left" vertical="top" wrapText="1"/>
    </xf>
    <xf numFmtId="0" fontId="0" fillId="2" borderId="6" xfId="0" applyFill="1" applyBorder="1" applyAlignment="1">
      <alignment horizontal="left" vertical="top" wrapText="1"/>
    </xf>
    <xf numFmtId="0" fontId="0" fillId="3" borderId="7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center" vertical="top" wrapText="1"/>
    </xf>
    <xf numFmtId="0" fontId="0" fillId="2" borderId="9" xfId="0" applyFill="1" applyBorder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 vertical="top" wrapText="1"/>
    </xf>
    <xf numFmtId="0" fontId="0" fillId="3" borderId="5" xfId="0" applyFill="1" applyBorder="1" applyAlignment="1">
      <alignment horizontal="left" vertical="top" wrapText="1"/>
    </xf>
    <xf numFmtId="0" fontId="0" fillId="2" borderId="6" xfId="0" applyFill="1" applyBorder="1" applyAlignment="1">
      <alignment horizontal="left" vertical="top" wrapText="1"/>
    </xf>
    <xf numFmtId="0" fontId="0" fillId="4" borderId="18" xfId="0" applyFill="1" applyBorder="1" applyAlignment="1">
      <alignment horizontal="center" wrapText="1"/>
    </xf>
    <xf numFmtId="0" fontId="0" fillId="2" borderId="13" xfId="0" applyFill="1" applyBorder="1" applyAlignment="1">
      <alignment horizontal="center" wrapText="1"/>
    </xf>
    <xf numFmtId="0" fontId="0" fillId="2" borderId="19" xfId="0" applyFill="1" applyBorder="1" applyAlignment="1">
      <alignment horizontal="left" wrapText="1"/>
    </xf>
    <xf numFmtId="0" fontId="0" fillId="12" borderId="5" xfId="0" applyFill="1" applyBorder="1" applyAlignment="1">
      <alignment wrapText="1"/>
    </xf>
    <xf numFmtId="0" fontId="0" fillId="12" borderId="1" xfId="0" applyFill="1" applyBorder="1" applyAlignment="1">
      <alignment horizontal="center" wrapText="1"/>
    </xf>
    <xf numFmtId="0" fontId="0" fillId="12" borderId="6" xfId="0" applyFill="1" applyBorder="1" applyAlignment="1">
      <alignment horizontal="left" wrapText="1"/>
    </xf>
    <xf numFmtId="0" fontId="0" fillId="13" borderId="5" xfId="0" applyFill="1" applyBorder="1" applyAlignment="1">
      <alignment wrapText="1"/>
    </xf>
    <xf numFmtId="0" fontId="0" fillId="13" borderId="1" xfId="0" applyFill="1" applyBorder="1" applyAlignment="1">
      <alignment horizontal="center" wrapText="1"/>
    </xf>
    <xf numFmtId="0" fontId="0" fillId="13" borderId="6" xfId="0" applyFill="1" applyBorder="1" applyAlignment="1">
      <alignment horizontal="left" wrapText="1"/>
    </xf>
    <xf numFmtId="0" fontId="0" fillId="14" borderId="5" xfId="0" applyFill="1" applyBorder="1" applyAlignment="1">
      <alignment wrapText="1"/>
    </xf>
    <xf numFmtId="0" fontId="0" fillId="14" borderId="1" xfId="0" applyFill="1" applyBorder="1" applyAlignment="1">
      <alignment horizontal="center" wrapText="1"/>
    </xf>
    <xf numFmtId="0" fontId="0" fillId="14" borderId="6" xfId="0" applyFill="1" applyBorder="1" applyAlignment="1">
      <alignment horizontal="left" wrapText="1"/>
    </xf>
    <xf numFmtId="0" fontId="0" fillId="15" borderId="5" xfId="0" applyFill="1" applyBorder="1" applyAlignment="1">
      <alignment wrapText="1"/>
    </xf>
    <xf numFmtId="0" fontId="0" fillId="15" borderId="1" xfId="0" applyFill="1" applyBorder="1" applyAlignment="1">
      <alignment horizontal="center" wrapText="1"/>
    </xf>
    <xf numFmtId="0" fontId="0" fillId="15" borderId="6" xfId="0" applyFill="1" applyBorder="1" applyAlignment="1">
      <alignment horizontal="left" wrapText="1"/>
    </xf>
    <xf numFmtId="0" fontId="0" fillId="16" borderId="5" xfId="0" applyFill="1" applyBorder="1" applyAlignment="1">
      <alignment wrapText="1"/>
    </xf>
    <xf numFmtId="0" fontId="0" fillId="16" borderId="1" xfId="0" applyFill="1" applyBorder="1" applyAlignment="1">
      <alignment horizontal="center" wrapText="1"/>
    </xf>
    <xf numFmtId="0" fontId="0" fillId="16" borderId="6" xfId="0" applyFill="1" applyBorder="1" applyAlignment="1">
      <alignment horizontal="left" wrapText="1"/>
    </xf>
    <xf numFmtId="0" fontId="0" fillId="17" borderId="5" xfId="0" applyFill="1" applyBorder="1" applyAlignment="1">
      <alignment wrapText="1"/>
    </xf>
    <xf numFmtId="0" fontId="0" fillId="17" borderId="1" xfId="0" applyFill="1" applyBorder="1" applyAlignment="1">
      <alignment horizontal="center" wrapText="1"/>
    </xf>
    <xf numFmtId="0" fontId="0" fillId="17" borderId="6" xfId="0" applyFill="1" applyBorder="1" applyAlignment="1">
      <alignment horizontal="left" wrapText="1"/>
    </xf>
    <xf numFmtId="0" fontId="0" fillId="18" borderId="5" xfId="0" applyFill="1" applyBorder="1" applyAlignment="1">
      <alignment wrapText="1"/>
    </xf>
    <xf numFmtId="0" fontId="0" fillId="18" borderId="1" xfId="0" applyFill="1" applyBorder="1" applyAlignment="1">
      <alignment horizontal="center" wrapText="1"/>
    </xf>
    <xf numFmtId="0" fontId="0" fillId="18" borderId="6" xfId="0" applyFill="1" applyBorder="1" applyAlignment="1">
      <alignment horizontal="left" wrapText="1"/>
    </xf>
    <xf numFmtId="0" fontId="0" fillId="19" borderId="5" xfId="0" applyFill="1" applyBorder="1" applyAlignment="1">
      <alignment wrapText="1"/>
    </xf>
    <xf numFmtId="0" fontId="0" fillId="19" borderId="1" xfId="0" applyFill="1" applyBorder="1" applyAlignment="1">
      <alignment horizontal="center" wrapText="1"/>
    </xf>
    <xf numFmtId="0" fontId="0" fillId="19" borderId="6" xfId="0" applyFill="1" applyBorder="1" applyAlignment="1">
      <alignment horizontal="left" wrapText="1"/>
    </xf>
    <xf numFmtId="0" fontId="0" fillId="20" borderId="5" xfId="0" applyFill="1" applyBorder="1" applyAlignment="1">
      <alignment wrapText="1"/>
    </xf>
    <xf numFmtId="0" fontId="0" fillId="20" borderId="1" xfId="0" applyFill="1" applyBorder="1" applyAlignment="1">
      <alignment horizontal="center" wrapText="1"/>
    </xf>
    <xf numFmtId="0" fontId="0" fillId="20" borderId="6" xfId="0" applyFill="1" applyBorder="1" applyAlignment="1">
      <alignment horizontal="left" wrapText="1"/>
    </xf>
    <xf numFmtId="0" fontId="0" fillId="21" borderId="5" xfId="0" applyFill="1" applyBorder="1" applyAlignment="1">
      <alignment wrapText="1"/>
    </xf>
    <xf numFmtId="0" fontId="0" fillId="21" borderId="1" xfId="0" applyFill="1" applyBorder="1" applyAlignment="1">
      <alignment horizontal="center" wrapText="1"/>
    </xf>
    <xf numFmtId="0" fontId="0" fillId="21" borderId="6" xfId="0" applyFill="1" applyBorder="1" applyAlignment="1">
      <alignment horizontal="left" wrapText="1"/>
    </xf>
    <xf numFmtId="0" fontId="0" fillId="22" borderId="5" xfId="0" applyFill="1" applyBorder="1" applyAlignment="1">
      <alignment wrapText="1"/>
    </xf>
    <xf numFmtId="0" fontId="0" fillId="22" borderId="1" xfId="0" applyFill="1" applyBorder="1" applyAlignment="1">
      <alignment horizontal="center" wrapText="1"/>
    </xf>
    <xf numFmtId="0" fontId="0" fillId="22" borderId="6" xfId="0" applyFill="1" applyBorder="1" applyAlignment="1">
      <alignment horizontal="left" wrapText="1"/>
    </xf>
    <xf numFmtId="0" fontId="0" fillId="23" borderId="5" xfId="0" applyFill="1" applyBorder="1" applyAlignment="1">
      <alignment wrapText="1"/>
    </xf>
    <xf numFmtId="0" fontId="0" fillId="23" borderId="1" xfId="0" applyFill="1" applyBorder="1" applyAlignment="1">
      <alignment horizontal="center" wrapText="1"/>
    </xf>
    <xf numFmtId="0" fontId="0" fillId="23" borderId="6" xfId="0" applyFill="1" applyBorder="1" applyAlignment="1">
      <alignment horizontal="left" wrapText="1"/>
    </xf>
    <xf numFmtId="0" fontId="0" fillId="7" borderId="6" xfId="0" applyFill="1" applyBorder="1" applyAlignment="1">
      <alignment wrapText="1"/>
    </xf>
    <xf numFmtId="0" fontId="0" fillId="12" borderId="6" xfId="0" applyFill="1" applyBorder="1" applyAlignment="1">
      <alignment wrapText="1"/>
    </xf>
    <xf numFmtId="0" fontId="0" fillId="13" borderId="6" xfId="0" applyFill="1" applyBorder="1" applyAlignment="1">
      <alignment wrapText="1"/>
    </xf>
    <xf numFmtId="0" fontId="0" fillId="14" borderId="6" xfId="0" applyFill="1" applyBorder="1" applyAlignment="1">
      <alignment wrapText="1"/>
    </xf>
    <xf numFmtId="0" fontId="0" fillId="16" borderId="6" xfId="0" applyFill="1" applyBorder="1" applyAlignment="1">
      <alignment wrapText="1"/>
    </xf>
    <xf numFmtId="0" fontId="0" fillId="17" borderId="6" xfId="0" applyFill="1" applyBorder="1" applyAlignment="1">
      <alignment wrapText="1"/>
    </xf>
    <xf numFmtId="0" fontId="0" fillId="18" borderId="6" xfId="0" applyFill="1" applyBorder="1" applyAlignment="1">
      <alignment wrapText="1"/>
    </xf>
    <xf numFmtId="0" fontId="0" fillId="19" borderId="6" xfId="0" applyFill="1" applyBorder="1" applyAlignment="1">
      <alignment wrapText="1"/>
    </xf>
    <xf numFmtId="0" fontId="0" fillId="20" borderId="6" xfId="0" applyFill="1" applyBorder="1" applyAlignment="1">
      <alignment wrapText="1"/>
    </xf>
    <xf numFmtId="0" fontId="0" fillId="21" borderId="6" xfId="0" applyFill="1" applyBorder="1" applyAlignment="1">
      <alignment wrapText="1"/>
    </xf>
    <xf numFmtId="0" fontId="0" fillId="22" borderId="6" xfId="0" applyFill="1" applyBorder="1" applyAlignment="1">
      <alignment wrapText="1"/>
    </xf>
    <xf numFmtId="0" fontId="0" fillId="23" borderId="6" xfId="0" applyFill="1" applyBorder="1" applyAlignment="1">
      <alignment wrapText="1"/>
    </xf>
    <xf numFmtId="0" fontId="0" fillId="24" borderId="5" xfId="0" applyFill="1" applyBorder="1" applyAlignment="1">
      <alignment wrapText="1"/>
    </xf>
    <xf numFmtId="0" fontId="0" fillId="24" borderId="1" xfId="0" applyFill="1" applyBorder="1" applyAlignment="1">
      <alignment horizontal="center" wrapText="1"/>
    </xf>
    <xf numFmtId="0" fontId="0" fillId="24" borderId="6" xfId="0" applyFill="1" applyBorder="1" applyAlignment="1">
      <alignment horizontal="left" wrapText="1"/>
    </xf>
    <xf numFmtId="0" fontId="0" fillId="25" borderId="5" xfId="0" applyFill="1" applyBorder="1" applyAlignment="1">
      <alignment wrapText="1"/>
    </xf>
    <xf numFmtId="0" fontId="0" fillId="25" borderId="1" xfId="0" applyFill="1" applyBorder="1" applyAlignment="1">
      <alignment horizontal="center" wrapText="1"/>
    </xf>
    <xf numFmtId="0" fontId="0" fillId="25" borderId="6" xfId="0" applyFill="1" applyBorder="1" applyAlignment="1">
      <alignment horizontal="left" wrapText="1"/>
    </xf>
    <xf numFmtId="0" fontId="0" fillId="26" borderId="5" xfId="0" applyFill="1" applyBorder="1" applyAlignment="1">
      <alignment wrapText="1"/>
    </xf>
    <xf numFmtId="0" fontId="0" fillId="26" borderId="1" xfId="0" applyFill="1" applyBorder="1" applyAlignment="1">
      <alignment horizontal="center" wrapText="1"/>
    </xf>
    <xf numFmtId="0" fontId="0" fillId="26" borderId="6" xfId="0" applyFill="1" applyBorder="1" applyAlignment="1">
      <alignment horizontal="left" wrapText="1"/>
    </xf>
    <xf numFmtId="0" fontId="0" fillId="27" borderId="5" xfId="0" applyFill="1" applyBorder="1" applyAlignment="1">
      <alignment wrapText="1"/>
    </xf>
    <xf numFmtId="0" fontId="0" fillId="27" borderId="1" xfId="0" applyFill="1" applyBorder="1" applyAlignment="1">
      <alignment horizontal="center" wrapText="1"/>
    </xf>
    <xf numFmtId="0" fontId="0" fillId="27" borderId="6" xfId="0" applyFill="1" applyBorder="1" applyAlignment="1">
      <alignment horizontal="left" wrapText="1"/>
    </xf>
    <xf numFmtId="0" fontId="0" fillId="28" borderId="7" xfId="0" applyFill="1" applyBorder="1" applyAlignment="1">
      <alignment wrapText="1"/>
    </xf>
    <xf numFmtId="0" fontId="0" fillId="28" borderId="8" xfId="0" applyFill="1" applyBorder="1" applyAlignment="1">
      <alignment horizontal="center" wrapText="1"/>
    </xf>
    <xf numFmtId="0" fontId="0" fillId="28" borderId="9" xfId="0" applyFill="1" applyBorder="1" applyAlignment="1">
      <alignment horizontal="left" wrapText="1"/>
    </xf>
    <xf numFmtId="0" fontId="0" fillId="2" borderId="1" xfId="0" applyFill="1" applyBorder="1" applyAlignment="1">
      <alignment horizontal="center" vertical="top" wrapText="1"/>
    </xf>
    <xf numFmtId="0" fontId="0" fillId="2" borderId="8" xfId="0" applyFill="1" applyBorder="1" applyAlignment="1">
      <alignment horizontal="center" vertical="top" wrapText="1"/>
    </xf>
    <xf numFmtId="0" fontId="2" fillId="11" borderId="5" xfId="0" applyFont="1" applyFill="1" applyBorder="1" applyAlignment="1">
      <alignment horizontal="center" vertical="top" wrapText="1"/>
    </xf>
    <xf numFmtId="0" fontId="2" fillId="11" borderId="1" xfId="0" applyFont="1" applyFill="1" applyBorder="1" applyAlignment="1">
      <alignment horizontal="center" vertical="top" wrapText="1"/>
    </xf>
    <xf numFmtId="0" fontId="2" fillId="11" borderId="6" xfId="0" applyFont="1" applyFill="1" applyBorder="1" applyAlignment="1">
      <alignment horizontal="center" vertical="top" wrapText="1"/>
    </xf>
    <xf numFmtId="0" fontId="2" fillId="6" borderId="3" xfId="0" applyFont="1" applyFill="1" applyBorder="1" applyAlignment="1">
      <alignment horizontal="center" vertical="top" wrapText="1"/>
    </xf>
    <xf numFmtId="0" fontId="7" fillId="5" borderId="2" xfId="0" applyFont="1" applyFill="1" applyBorder="1" applyAlignment="1">
      <alignment horizontal="center" wrapText="1"/>
    </xf>
    <xf numFmtId="0" fontId="7" fillId="5" borderId="3" xfId="0" applyFont="1" applyFill="1" applyBorder="1" applyAlignment="1">
      <alignment horizontal="center" wrapText="1"/>
    </xf>
    <xf numFmtId="0" fontId="7" fillId="5" borderId="4" xfId="0" applyFont="1" applyFill="1" applyBorder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7">
    <dxf>
      <fill>
        <patternFill patternType="solid">
          <fgColor indexed="64"/>
          <bgColor theme="7" tint="0.79998168889431442"/>
        </patternFill>
      </fill>
      <alignment horizontal="general" vertical="bottom" textRotation="0" wrapText="1" relative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right" vertical="bottom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right" vertical="bottom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1" relative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EBF1DF"/>
      <color rgb="FFE1EACE"/>
      <color rgb="FFD7E4BE"/>
      <color rgb="FFD2E1B5"/>
      <color rgb="FFCBDCA8"/>
      <color rgb="FFC7DAA2"/>
      <color rgb="FF8CE5F1"/>
      <color rgb="FF7DDCF1"/>
      <color rgb="FF82D2F1"/>
      <color rgb="FF7DC8F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id="1" name="Table1" displayName="Table1" ref="B1:E47" totalsRowShown="0" headerRowDxfId="6" headerRowBorderDxfId="5" tableBorderDxfId="4">
  <autoFilter ref="B1:E47"/>
  <tableColumns count="4">
    <tableColumn id="1" name="Parameter" dataDxfId="3"/>
    <tableColumn id="2" name=" Host parameter value" dataDxfId="2"/>
    <tableColumn id="3" name=" Device parameter value" dataDxfId="1"/>
    <tableColumn id="4" name="Rationale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5"/>
  <sheetViews>
    <sheetView tabSelected="1" zoomScale="90" zoomScaleNormal="90" workbookViewId="0"/>
  </sheetViews>
  <sheetFormatPr defaultRowHeight="15" x14ac:dyDescent="0.25"/>
  <cols>
    <col min="1" max="1" width="22.5703125" customWidth="1"/>
    <col min="2" max="4" width="10.7109375" style="110" customWidth="1"/>
    <col min="5" max="5" width="15.42578125" style="110" customWidth="1"/>
    <col min="6" max="6" width="44.85546875" customWidth="1"/>
  </cols>
  <sheetData>
    <row r="1" spans="1:6" ht="15.75" x14ac:dyDescent="0.25">
      <c r="A1" s="115" t="s">
        <v>11</v>
      </c>
      <c r="B1" s="199" t="s">
        <v>85</v>
      </c>
      <c r="C1" s="199"/>
      <c r="D1" s="199"/>
      <c r="E1" s="117" t="s">
        <v>332</v>
      </c>
      <c r="F1" s="116" t="s">
        <v>1709</v>
      </c>
    </row>
    <row r="2" spans="1:6" ht="15.75" x14ac:dyDescent="0.25">
      <c r="A2" s="196" t="s">
        <v>1715</v>
      </c>
      <c r="B2" s="197"/>
      <c r="C2" s="197"/>
      <c r="D2" s="197"/>
      <c r="E2" s="197"/>
      <c r="F2" s="198"/>
    </row>
    <row r="3" spans="1:6" ht="30" customHeight="1" x14ac:dyDescent="0.25">
      <c r="A3" s="111" t="s">
        <v>1710</v>
      </c>
      <c r="B3" s="194" t="s">
        <v>1711</v>
      </c>
      <c r="C3" s="194"/>
      <c r="D3" s="194"/>
      <c r="E3" s="113" t="s">
        <v>1714</v>
      </c>
      <c r="F3" s="112" t="s">
        <v>1712</v>
      </c>
    </row>
    <row r="4" spans="1:6" ht="30" x14ac:dyDescent="0.25">
      <c r="A4" s="111" t="s">
        <v>1724</v>
      </c>
      <c r="B4" s="194" t="s">
        <v>1713</v>
      </c>
      <c r="C4" s="194"/>
      <c r="D4" s="194"/>
      <c r="E4" s="113" t="s">
        <v>94</v>
      </c>
      <c r="F4" s="112" t="s">
        <v>1717</v>
      </c>
    </row>
    <row r="5" spans="1:6" ht="30" x14ac:dyDescent="0.25">
      <c r="A5" s="111" t="s">
        <v>1757</v>
      </c>
      <c r="B5" s="194" t="s">
        <v>1713</v>
      </c>
      <c r="C5" s="194"/>
      <c r="D5" s="194"/>
      <c r="E5" s="113" t="s">
        <v>94</v>
      </c>
      <c r="F5" s="112" t="s">
        <v>1758</v>
      </c>
    </row>
    <row r="6" spans="1:6" ht="15.75" x14ac:dyDescent="0.25">
      <c r="A6" s="196" t="s">
        <v>1772</v>
      </c>
      <c r="B6" s="197"/>
      <c r="C6" s="197"/>
      <c r="D6" s="197"/>
      <c r="E6" s="197"/>
      <c r="F6" s="198"/>
    </row>
    <row r="7" spans="1:6" x14ac:dyDescent="0.25">
      <c r="A7" s="118" t="s">
        <v>1767</v>
      </c>
      <c r="B7" s="194" t="s">
        <v>1768</v>
      </c>
      <c r="C7" s="194"/>
      <c r="D7" s="194"/>
      <c r="E7" s="114" t="s">
        <v>1329</v>
      </c>
      <c r="F7" s="119" t="s">
        <v>1770</v>
      </c>
    </row>
    <row r="8" spans="1:6" x14ac:dyDescent="0.25">
      <c r="A8" s="118" t="s">
        <v>1769</v>
      </c>
      <c r="B8" s="194" t="s">
        <v>1768</v>
      </c>
      <c r="C8" s="194"/>
      <c r="D8" s="194"/>
      <c r="E8" s="114" t="s">
        <v>1329</v>
      </c>
      <c r="F8" s="119" t="s">
        <v>1771</v>
      </c>
    </row>
    <row r="9" spans="1:6" ht="15" customHeight="1" x14ac:dyDescent="0.25">
      <c r="A9" s="196" t="s">
        <v>1716</v>
      </c>
      <c r="B9" s="197"/>
      <c r="C9" s="197"/>
      <c r="D9" s="197"/>
      <c r="E9" s="197"/>
      <c r="F9" s="198"/>
    </row>
    <row r="10" spans="1:6" ht="30" customHeight="1" x14ac:dyDescent="0.25">
      <c r="A10" s="111" t="s">
        <v>1723</v>
      </c>
      <c r="B10" s="194" t="s">
        <v>1713</v>
      </c>
      <c r="C10" s="194"/>
      <c r="D10" s="194"/>
      <c r="E10" s="113" t="s">
        <v>94</v>
      </c>
      <c r="F10" s="112" t="s">
        <v>1719</v>
      </c>
    </row>
    <row r="11" spans="1:6" ht="30" x14ac:dyDescent="0.25">
      <c r="A11" s="111" t="s">
        <v>1722</v>
      </c>
      <c r="B11" s="194" t="s">
        <v>1713</v>
      </c>
      <c r="C11" s="194"/>
      <c r="D11" s="194"/>
      <c r="E11" s="113" t="s">
        <v>94</v>
      </c>
      <c r="F11" s="112" t="s">
        <v>1720</v>
      </c>
    </row>
    <row r="12" spans="1:6" ht="30" x14ac:dyDescent="0.25">
      <c r="A12" s="111" t="s">
        <v>1721</v>
      </c>
      <c r="B12" s="194" t="s">
        <v>1713</v>
      </c>
      <c r="C12" s="194"/>
      <c r="D12" s="194"/>
      <c r="E12" s="113" t="s">
        <v>94</v>
      </c>
      <c r="F12" s="112" t="s">
        <v>1725</v>
      </c>
    </row>
    <row r="13" spans="1:6" ht="30" x14ac:dyDescent="0.25">
      <c r="A13" s="111" t="s">
        <v>1729</v>
      </c>
      <c r="B13" s="194" t="s">
        <v>1713</v>
      </c>
      <c r="C13" s="194"/>
      <c r="D13" s="194"/>
      <c r="E13" s="113" t="s">
        <v>94</v>
      </c>
      <c r="F13" s="112" t="s">
        <v>1731</v>
      </c>
    </row>
    <row r="14" spans="1:6" ht="30" x14ac:dyDescent="0.25">
      <c r="A14" s="111" t="s">
        <v>1730</v>
      </c>
      <c r="B14" s="194" t="s">
        <v>1713</v>
      </c>
      <c r="C14" s="194"/>
      <c r="D14" s="194"/>
      <c r="E14" s="113" t="s">
        <v>94</v>
      </c>
      <c r="F14" s="112" t="s">
        <v>1732</v>
      </c>
    </row>
    <row r="15" spans="1:6" ht="30" x14ac:dyDescent="0.25">
      <c r="A15" s="111" t="s">
        <v>1718</v>
      </c>
      <c r="B15" s="194" t="s">
        <v>1713</v>
      </c>
      <c r="C15" s="194"/>
      <c r="D15" s="194"/>
      <c r="E15" s="113" t="s">
        <v>94</v>
      </c>
      <c r="F15" s="112" t="s">
        <v>1726</v>
      </c>
    </row>
    <row r="16" spans="1:6" ht="30" x14ac:dyDescent="0.25">
      <c r="A16" s="111" t="s">
        <v>1727</v>
      </c>
      <c r="B16" s="194" t="s">
        <v>1713</v>
      </c>
      <c r="C16" s="194"/>
      <c r="D16" s="194"/>
      <c r="E16" s="113" t="s">
        <v>94</v>
      </c>
      <c r="F16" s="112" t="s">
        <v>1728</v>
      </c>
    </row>
    <row r="17" spans="1:6" ht="30" x14ac:dyDescent="0.25">
      <c r="A17" s="111" t="s">
        <v>1733</v>
      </c>
      <c r="B17" s="194" t="s">
        <v>1713</v>
      </c>
      <c r="C17" s="194"/>
      <c r="D17" s="194"/>
      <c r="E17" s="113" t="s">
        <v>94</v>
      </c>
      <c r="F17" s="112" t="s">
        <v>1735</v>
      </c>
    </row>
    <row r="18" spans="1:6" ht="30" x14ac:dyDescent="0.25">
      <c r="A18" s="111" t="s">
        <v>1734</v>
      </c>
      <c r="B18" s="194" t="s">
        <v>1713</v>
      </c>
      <c r="C18" s="194"/>
      <c r="D18" s="194"/>
      <c r="E18" s="113" t="s">
        <v>94</v>
      </c>
      <c r="F18" s="112" t="s">
        <v>1736</v>
      </c>
    </row>
    <row r="19" spans="1:6" ht="45" x14ac:dyDescent="0.25">
      <c r="A19" s="111" t="s">
        <v>1737</v>
      </c>
      <c r="B19" s="194" t="s">
        <v>1713</v>
      </c>
      <c r="C19" s="194"/>
      <c r="D19" s="194"/>
      <c r="E19" s="113" t="s">
        <v>94</v>
      </c>
      <c r="F19" s="112" t="s">
        <v>1748</v>
      </c>
    </row>
    <row r="20" spans="1:6" ht="45" x14ac:dyDescent="0.25">
      <c r="A20" s="111" t="s">
        <v>1738</v>
      </c>
      <c r="B20" s="194" t="s">
        <v>1713</v>
      </c>
      <c r="C20" s="194"/>
      <c r="D20" s="194"/>
      <c r="E20" s="113" t="s">
        <v>94</v>
      </c>
      <c r="F20" s="112" t="s">
        <v>1749</v>
      </c>
    </row>
    <row r="21" spans="1:6" ht="30" x14ac:dyDescent="0.25">
      <c r="A21" s="111" t="s">
        <v>1739</v>
      </c>
      <c r="B21" s="194" t="s">
        <v>1713</v>
      </c>
      <c r="C21" s="194"/>
      <c r="D21" s="194"/>
      <c r="E21" s="113" t="s">
        <v>94</v>
      </c>
      <c r="F21" s="112" t="s">
        <v>1750</v>
      </c>
    </row>
    <row r="22" spans="1:6" ht="30" x14ac:dyDescent="0.25">
      <c r="A22" s="111" t="s">
        <v>1740</v>
      </c>
      <c r="B22" s="194" t="s">
        <v>1713</v>
      </c>
      <c r="C22" s="194"/>
      <c r="D22" s="194"/>
      <c r="E22" s="113" t="s">
        <v>94</v>
      </c>
      <c r="F22" s="112" t="s">
        <v>1751</v>
      </c>
    </row>
    <row r="23" spans="1:6" ht="30" x14ac:dyDescent="0.25">
      <c r="A23" s="111" t="s">
        <v>1741</v>
      </c>
      <c r="B23" s="194" t="s">
        <v>1713</v>
      </c>
      <c r="C23" s="194"/>
      <c r="D23" s="194"/>
      <c r="E23" s="113" t="s">
        <v>94</v>
      </c>
      <c r="F23" s="112" t="s">
        <v>1752</v>
      </c>
    </row>
    <row r="24" spans="1:6" ht="30" x14ac:dyDescent="0.25">
      <c r="A24" s="111" t="s">
        <v>1742</v>
      </c>
      <c r="B24" s="194" t="s">
        <v>1713</v>
      </c>
      <c r="C24" s="194"/>
      <c r="D24" s="194"/>
      <c r="E24" s="113" t="s">
        <v>94</v>
      </c>
      <c r="F24" s="112" t="s">
        <v>1753</v>
      </c>
    </row>
    <row r="25" spans="1:6" ht="30" x14ac:dyDescent="0.25">
      <c r="A25" s="126" t="s">
        <v>1800</v>
      </c>
      <c r="B25" s="194" t="s">
        <v>1713</v>
      </c>
      <c r="C25" s="194"/>
      <c r="D25" s="194"/>
      <c r="E25" s="125" t="s">
        <v>94</v>
      </c>
      <c r="F25" s="127" t="s">
        <v>1802</v>
      </c>
    </row>
    <row r="26" spans="1:6" ht="30" x14ac:dyDescent="0.25">
      <c r="A26" s="126" t="s">
        <v>1801</v>
      </c>
      <c r="B26" s="194" t="s">
        <v>1713</v>
      </c>
      <c r="C26" s="194"/>
      <c r="D26" s="194"/>
      <c r="E26" s="125" t="s">
        <v>94</v>
      </c>
      <c r="F26" s="127" t="s">
        <v>1803</v>
      </c>
    </row>
    <row r="27" spans="1:6" ht="30" x14ac:dyDescent="0.25">
      <c r="A27" s="111" t="s">
        <v>1743</v>
      </c>
      <c r="B27" s="194" t="s">
        <v>1713</v>
      </c>
      <c r="C27" s="194"/>
      <c r="D27" s="194"/>
      <c r="E27" s="113" t="s">
        <v>94</v>
      </c>
      <c r="F27" s="112" t="s">
        <v>1754</v>
      </c>
    </row>
    <row r="28" spans="1:6" ht="30" x14ac:dyDescent="0.25">
      <c r="A28" s="111" t="s">
        <v>1746</v>
      </c>
      <c r="B28" s="194" t="s">
        <v>1713</v>
      </c>
      <c r="C28" s="194"/>
      <c r="D28" s="194"/>
      <c r="E28" s="113" t="s">
        <v>94</v>
      </c>
      <c r="F28" s="112" t="s">
        <v>1754</v>
      </c>
    </row>
    <row r="29" spans="1:6" ht="30" x14ac:dyDescent="0.25">
      <c r="A29" s="111" t="s">
        <v>1744</v>
      </c>
      <c r="B29" s="194" t="s">
        <v>1713</v>
      </c>
      <c r="C29" s="194"/>
      <c r="D29" s="194"/>
      <c r="E29" s="113" t="s">
        <v>94</v>
      </c>
      <c r="F29" s="112" t="s">
        <v>1755</v>
      </c>
    </row>
    <row r="30" spans="1:6" ht="45" x14ac:dyDescent="0.25">
      <c r="A30" s="111" t="s">
        <v>1747</v>
      </c>
      <c r="B30" s="194" t="s">
        <v>1713</v>
      </c>
      <c r="C30" s="194"/>
      <c r="D30" s="194"/>
      <c r="E30" s="113" t="s">
        <v>94</v>
      </c>
      <c r="F30" s="112" t="s">
        <v>1755</v>
      </c>
    </row>
    <row r="31" spans="1:6" ht="30" x14ac:dyDescent="0.25">
      <c r="A31" s="111" t="s">
        <v>1745</v>
      </c>
      <c r="B31" s="194" t="s">
        <v>1713</v>
      </c>
      <c r="C31" s="194"/>
      <c r="D31" s="194"/>
      <c r="E31" s="113" t="s">
        <v>94</v>
      </c>
      <c r="F31" s="112" t="s">
        <v>1756</v>
      </c>
    </row>
    <row r="32" spans="1:6" ht="45" x14ac:dyDescent="0.25">
      <c r="A32" s="111" t="s">
        <v>1761</v>
      </c>
      <c r="B32" s="194" t="s">
        <v>1713</v>
      </c>
      <c r="C32" s="194"/>
      <c r="D32" s="194"/>
      <c r="E32" s="113" t="s">
        <v>94</v>
      </c>
      <c r="F32" s="112" t="s">
        <v>1759</v>
      </c>
    </row>
    <row r="33" spans="1:6" ht="45" x14ac:dyDescent="0.25">
      <c r="A33" s="111" t="s">
        <v>1762</v>
      </c>
      <c r="B33" s="194" t="s">
        <v>1713</v>
      </c>
      <c r="C33" s="194"/>
      <c r="D33" s="194"/>
      <c r="E33" s="113" t="s">
        <v>94</v>
      </c>
      <c r="F33" s="112" t="s">
        <v>1760</v>
      </c>
    </row>
    <row r="34" spans="1:6" ht="45" x14ac:dyDescent="0.25">
      <c r="A34" s="111" t="s">
        <v>1763</v>
      </c>
      <c r="B34" s="194" t="s">
        <v>1713</v>
      </c>
      <c r="C34" s="194"/>
      <c r="D34" s="194"/>
      <c r="E34" s="113" t="s">
        <v>94</v>
      </c>
      <c r="F34" s="112" t="s">
        <v>1764</v>
      </c>
    </row>
    <row r="35" spans="1:6" ht="45.75" thickBot="1" x14ac:dyDescent="0.3">
      <c r="A35" s="120" t="s">
        <v>1765</v>
      </c>
      <c r="B35" s="195" t="s">
        <v>1713</v>
      </c>
      <c r="C35" s="195"/>
      <c r="D35" s="195"/>
      <c r="E35" s="121" t="s">
        <v>94</v>
      </c>
      <c r="F35" s="122" t="s">
        <v>1766</v>
      </c>
    </row>
  </sheetData>
  <mergeCells count="35">
    <mergeCell ref="B25:D25"/>
    <mergeCell ref="B26:D26"/>
    <mergeCell ref="B5:D5"/>
    <mergeCell ref="B10:D10"/>
    <mergeCell ref="B1:D1"/>
    <mergeCell ref="A6:F6"/>
    <mergeCell ref="B7:D7"/>
    <mergeCell ref="B24:D24"/>
    <mergeCell ref="B20:D20"/>
    <mergeCell ref="B21:D21"/>
    <mergeCell ref="B22:D22"/>
    <mergeCell ref="B23:D23"/>
    <mergeCell ref="B27:D27"/>
    <mergeCell ref="B29:D29"/>
    <mergeCell ref="B15:D15"/>
    <mergeCell ref="A2:F2"/>
    <mergeCell ref="A9:F9"/>
    <mergeCell ref="B14:D14"/>
    <mergeCell ref="B8:D8"/>
    <mergeCell ref="B11:D11"/>
    <mergeCell ref="B12:D12"/>
    <mergeCell ref="B3:D3"/>
    <mergeCell ref="B4:D4"/>
    <mergeCell ref="B13:D13"/>
    <mergeCell ref="B16:D16"/>
    <mergeCell ref="B17:D17"/>
    <mergeCell ref="B18:D18"/>
    <mergeCell ref="B19:D19"/>
    <mergeCell ref="B34:D34"/>
    <mergeCell ref="B35:D35"/>
    <mergeCell ref="B31:D31"/>
    <mergeCell ref="B28:D28"/>
    <mergeCell ref="B30:D30"/>
    <mergeCell ref="B32:D32"/>
    <mergeCell ref="B33:D3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4"/>
  <sheetViews>
    <sheetView zoomScale="90" zoomScaleNormal="90" workbookViewId="0"/>
  </sheetViews>
  <sheetFormatPr defaultRowHeight="15" x14ac:dyDescent="0.25"/>
  <cols>
    <col min="1" max="1" width="17.28515625" customWidth="1"/>
    <col min="2" max="2" width="29.5703125" customWidth="1"/>
    <col min="3" max="3" width="24.85546875" style="3" customWidth="1"/>
    <col min="4" max="4" width="26.85546875" style="3" customWidth="1"/>
    <col min="5" max="5" width="60.140625" customWidth="1"/>
    <col min="7" max="7" width="31.85546875" customWidth="1"/>
    <col min="8" max="8" width="12.7109375" customWidth="1"/>
    <col min="9" max="9" width="12" customWidth="1"/>
  </cols>
  <sheetData>
    <row r="1" spans="1:9" ht="16.5" thickBot="1" x14ac:dyDescent="0.3">
      <c r="A1" t="s">
        <v>13</v>
      </c>
      <c r="B1" s="5" t="s">
        <v>11</v>
      </c>
      <c r="C1" s="6" t="s">
        <v>77</v>
      </c>
      <c r="D1" s="6" t="s">
        <v>78</v>
      </c>
      <c r="E1" s="7" t="s">
        <v>265</v>
      </c>
      <c r="G1" s="37" t="s">
        <v>349</v>
      </c>
      <c r="H1" s="38" t="s">
        <v>347</v>
      </c>
      <c r="I1" s="39" t="s">
        <v>348</v>
      </c>
    </row>
    <row r="2" spans="1:9" ht="30" x14ac:dyDescent="0.25">
      <c r="A2" t="s">
        <v>14</v>
      </c>
      <c r="B2" s="85" t="s">
        <v>0</v>
      </c>
      <c r="C2" s="29" t="s">
        <v>1</v>
      </c>
      <c r="D2" s="29" t="s">
        <v>1</v>
      </c>
      <c r="E2" s="30" t="s">
        <v>68</v>
      </c>
      <c r="G2" s="33" t="s">
        <v>350</v>
      </c>
      <c r="H2" s="20">
        <v>0</v>
      </c>
      <c r="I2" s="35">
        <v>0</v>
      </c>
    </row>
    <row r="3" spans="1:9" x14ac:dyDescent="0.25">
      <c r="B3" s="11" t="s">
        <v>2</v>
      </c>
      <c r="C3" s="8" t="s">
        <v>3</v>
      </c>
      <c r="D3" s="8" t="s">
        <v>3</v>
      </c>
      <c r="E3" s="16" t="s">
        <v>69</v>
      </c>
      <c r="G3" s="33" t="s">
        <v>351</v>
      </c>
      <c r="H3" s="20">
        <v>2</v>
      </c>
      <c r="I3" s="35">
        <v>2</v>
      </c>
    </row>
    <row r="4" spans="1:9" ht="30" x14ac:dyDescent="0.25">
      <c r="B4" s="11" t="s">
        <v>4</v>
      </c>
      <c r="C4" s="8" t="s">
        <v>5</v>
      </c>
      <c r="D4" s="8" t="s">
        <v>5</v>
      </c>
      <c r="E4" s="16" t="s">
        <v>70</v>
      </c>
      <c r="G4" s="33" t="s">
        <v>352</v>
      </c>
      <c r="H4" s="20">
        <v>0</v>
      </c>
      <c r="I4" s="35">
        <v>0</v>
      </c>
    </row>
    <row r="5" spans="1:9" x14ac:dyDescent="0.25">
      <c r="B5" s="11" t="s">
        <v>6</v>
      </c>
      <c r="C5" s="8" t="s">
        <v>7</v>
      </c>
      <c r="D5" s="8" t="s">
        <v>7</v>
      </c>
      <c r="E5" s="16" t="s">
        <v>71</v>
      </c>
      <c r="G5" s="33" t="s">
        <v>353</v>
      </c>
      <c r="H5" s="20">
        <v>1</v>
      </c>
      <c r="I5" s="35">
        <v>1</v>
      </c>
    </row>
    <row r="6" spans="1:9" ht="30" x14ac:dyDescent="0.25">
      <c r="B6" s="11" t="s">
        <v>8</v>
      </c>
      <c r="C6" s="8" t="s">
        <v>10</v>
      </c>
      <c r="D6" s="8" t="s">
        <v>10</v>
      </c>
      <c r="E6" s="16" t="s">
        <v>72</v>
      </c>
      <c r="G6" s="33" t="s">
        <v>354</v>
      </c>
      <c r="H6" s="20">
        <v>1</v>
      </c>
      <c r="I6" s="35">
        <v>1</v>
      </c>
    </row>
    <row r="7" spans="1:9" ht="30" x14ac:dyDescent="0.25">
      <c r="B7" s="11" t="s">
        <v>9</v>
      </c>
      <c r="C7" s="8" t="s">
        <v>10</v>
      </c>
      <c r="D7" s="8" t="s">
        <v>10</v>
      </c>
      <c r="E7" s="16" t="s">
        <v>69</v>
      </c>
      <c r="G7" s="33" t="s">
        <v>356</v>
      </c>
      <c r="H7" s="20">
        <v>1</v>
      </c>
      <c r="I7" s="35">
        <v>1</v>
      </c>
    </row>
    <row r="8" spans="1:9" ht="30" x14ac:dyDescent="0.25">
      <c r="B8" s="11" t="s">
        <v>12</v>
      </c>
      <c r="C8" s="8" t="s">
        <v>5</v>
      </c>
      <c r="D8" s="8" t="s">
        <v>5</v>
      </c>
      <c r="E8" s="16" t="s">
        <v>73</v>
      </c>
      <c r="G8" s="33" t="s">
        <v>355</v>
      </c>
      <c r="H8" s="20">
        <v>0</v>
      </c>
      <c r="I8" s="35">
        <v>0</v>
      </c>
    </row>
    <row r="9" spans="1:9" x14ac:dyDescent="0.25">
      <c r="A9" t="s">
        <v>15</v>
      </c>
      <c r="B9" s="11" t="s">
        <v>16</v>
      </c>
      <c r="C9" s="8" t="s">
        <v>17</v>
      </c>
      <c r="D9" s="8" t="s">
        <v>17</v>
      </c>
      <c r="E9" s="16" t="s">
        <v>74</v>
      </c>
      <c r="G9" s="33" t="s">
        <v>357</v>
      </c>
      <c r="H9" s="20">
        <v>3</v>
      </c>
      <c r="I9" s="35">
        <v>3</v>
      </c>
    </row>
    <row r="10" spans="1:9" ht="30" x14ac:dyDescent="0.25">
      <c r="B10" s="11" t="s">
        <v>18</v>
      </c>
      <c r="C10" s="8" t="s">
        <v>19</v>
      </c>
      <c r="D10" s="8" t="s">
        <v>19</v>
      </c>
      <c r="E10" s="16" t="s">
        <v>74</v>
      </c>
      <c r="G10" s="33" t="s">
        <v>358</v>
      </c>
      <c r="H10" s="20">
        <v>2</v>
      </c>
      <c r="I10" s="35">
        <v>2</v>
      </c>
    </row>
    <row r="11" spans="1:9" ht="30" x14ac:dyDescent="0.25">
      <c r="B11" s="11" t="s">
        <v>20</v>
      </c>
      <c r="C11" s="8" t="s">
        <v>21</v>
      </c>
      <c r="D11" s="8" t="s">
        <v>21</v>
      </c>
      <c r="E11" s="16" t="s">
        <v>75</v>
      </c>
      <c r="G11" s="33" t="s">
        <v>359</v>
      </c>
      <c r="H11" s="20">
        <v>0</v>
      </c>
      <c r="I11" s="35">
        <v>0</v>
      </c>
    </row>
    <row r="12" spans="1:9" x14ac:dyDescent="0.25">
      <c r="B12" s="11" t="s">
        <v>22</v>
      </c>
      <c r="C12" s="8" t="s">
        <v>23</v>
      </c>
      <c r="D12" s="8" t="s">
        <v>23</v>
      </c>
      <c r="E12" s="16" t="s">
        <v>76</v>
      </c>
      <c r="G12" s="33" t="s">
        <v>360</v>
      </c>
      <c r="H12" s="20">
        <v>0</v>
      </c>
      <c r="I12" s="35">
        <v>0</v>
      </c>
    </row>
    <row r="13" spans="1:9" x14ac:dyDescent="0.25">
      <c r="B13" s="11" t="s">
        <v>1481</v>
      </c>
      <c r="C13" s="8" t="s">
        <v>10</v>
      </c>
      <c r="D13" s="8" t="s">
        <v>10</v>
      </c>
      <c r="E13" s="16" t="s">
        <v>1483</v>
      </c>
      <c r="G13" s="33" t="s">
        <v>361</v>
      </c>
      <c r="H13" s="20">
        <v>1</v>
      </c>
      <c r="I13" s="35">
        <v>1</v>
      </c>
    </row>
    <row r="14" spans="1:9" x14ac:dyDescent="0.25">
      <c r="B14" s="11" t="s">
        <v>24</v>
      </c>
      <c r="C14" s="8" t="s">
        <v>5</v>
      </c>
      <c r="D14" s="8" t="s">
        <v>5</v>
      </c>
      <c r="E14" s="16" t="s">
        <v>79</v>
      </c>
      <c r="G14" s="33" t="s">
        <v>362</v>
      </c>
      <c r="H14" s="20">
        <v>0</v>
      </c>
      <c r="I14" s="35">
        <v>0</v>
      </c>
    </row>
    <row r="15" spans="1:9" x14ac:dyDescent="0.25">
      <c r="B15" s="11" t="s">
        <v>25</v>
      </c>
      <c r="C15" s="8" t="s">
        <v>10</v>
      </c>
      <c r="D15" s="8" t="s">
        <v>10</v>
      </c>
      <c r="E15" s="16" t="s">
        <v>1482</v>
      </c>
      <c r="G15" s="33" t="s">
        <v>363</v>
      </c>
      <c r="H15" s="20">
        <v>1</v>
      </c>
      <c r="I15" s="35">
        <v>1</v>
      </c>
    </row>
    <row r="16" spans="1:9" ht="30" x14ac:dyDescent="0.25">
      <c r="B16" s="11" t="s">
        <v>26</v>
      </c>
      <c r="C16" s="8" t="s">
        <v>10</v>
      </c>
      <c r="D16" s="8" t="s">
        <v>10</v>
      </c>
      <c r="E16" s="16" t="s">
        <v>74</v>
      </c>
      <c r="G16" s="33" t="s">
        <v>364</v>
      </c>
      <c r="H16" s="20">
        <v>1</v>
      </c>
      <c r="I16" s="35">
        <v>1</v>
      </c>
    </row>
    <row r="17" spans="1:9" ht="45" x14ac:dyDescent="0.25">
      <c r="A17" t="s">
        <v>27</v>
      </c>
      <c r="B17" s="11" t="s">
        <v>28</v>
      </c>
      <c r="C17" s="8">
        <v>6</v>
      </c>
      <c r="D17" s="8">
        <v>6</v>
      </c>
      <c r="E17" s="16" t="s">
        <v>79</v>
      </c>
      <c r="G17" s="33" t="s">
        <v>365</v>
      </c>
      <c r="H17" s="20">
        <v>6</v>
      </c>
      <c r="I17" s="35">
        <v>6</v>
      </c>
    </row>
    <row r="18" spans="1:9" ht="45" x14ac:dyDescent="0.25">
      <c r="B18" s="11" t="s">
        <v>29</v>
      </c>
      <c r="C18" s="8">
        <v>7</v>
      </c>
      <c r="D18" s="8">
        <v>7</v>
      </c>
      <c r="E18" s="16" t="s">
        <v>79</v>
      </c>
      <c r="G18" s="33" t="s">
        <v>367</v>
      </c>
      <c r="H18" s="20">
        <v>7</v>
      </c>
      <c r="I18" s="35">
        <v>7</v>
      </c>
    </row>
    <row r="19" spans="1:9" ht="45" x14ac:dyDescent="0.25">
      <c r="B19" s="11" t="s">
        <v>30</v>
      </c>
      <c r="C19" s="8">
        <v>0</v>
      </c>
      <c r="D19" s="8">
        <v>0</v>
      </c>
      <c r="E19" s="16" t="s">
        <v>79</v>
      </c>
      <c r="G19" s="33" t="s">
        <v>366</v>
      </c>
      <c r="H19" s="20">
        <v>0</v>
      </c>
      <c r="I19" s="35">
        <v>0</v>
      </c>
    </row>
    <row r="20" spans="1:9" ht="30" x14ac:dyDescent="0.25">
      <c r="A20" t="s">
        <v>31</v>
      </c>
      <c r="B20" s="11" t="s">
        <v>32</v>
      </c>
      <c r="C20" s="8">
        <v>14</v>
      </c>
      <c r="D20" s="8">
        <v>14</v>
      </c>
      <c r="E20" s="16" t="s">
        <v>79</v>
      </c>
      <c r="G20" s="33" t="s">
        <v>368</v>
      </c>
      <c r="H20" s="20">
        <v>14</v>
      </c>
      <c r="I20" s="35">
        <v>14</v>
      </c>
    </row>
    <row r="21" spans="1:9" ht="30" x14ac:dyDescent="0.25">
      <c r="B21" s="11" t="s">
        <v>33</v>
      </c>
      <c r="C21" s="8" t="s">
        <v>10</v>
      </c>
      <c r="D21" s="8" t="s">
        <v>10</v>
      </c>
      <c r="E21" s="16" t="s">
        <v>79</v>
      </c>
      <c r="G21" s="33" t="s">
        <v>369</v>
      </c>
      <c r="H21" s="20">
        <v>1</v>
      </c>
      <c r="I21" s="35">
        <v>1</v>
      </c>
    </row>
    <row r="22" spans="1:9" x14ac:dyDescent="0.25">
      <c r="A22" t="s">
        <v>34</v>
      </c>
      <c r="B22" s="11" t="s">
        <v>35</v>
      </c>
      <c r="C22" s="8">
        <v>3699</v>
      </c>
      <c r="D22" s="8">
        <v>3699</v>
      </c>
      <c r="E22" s="16" t="s">
        <v>79</v>
      </c>
      <c r="G22" s="33" t="s">
        <v>370</v>
      </c>
      <c r="H22" s="20">
        <v>3699</v>
      </c>
      <c r="I22" s="35">
        <v>3699</v>
      </c>
    </row>
    <row r="23" spans="1:9" x14ac:dyDescent="0.25">
      <c r="B23" s="11" t="s">
        <v>36</v>
      </c>
      <c r="C23" s="8" t="s">
        <v>10</v>
      </c>
      <c r="D23" s="8" t="s">
        <v>10</v>
      </c>
      <c r="E23" s="16" t="s">
        <v>80</v>
      </c>
      <c r="G23" s="33" t="s">
        <v>371</v>
      </c>
      <c r="H23" s="20">
        <v>1</v>
      </c>
      <c r="I23" s="35">
        <v>1</v>
      </c>
    </row>
    <row r="24" spans="1:9" x14ac:dyDescent="0.25">
      <c r="B24" s="11" t="s">
        <v>37</v>
      </c>
      <c r="C24" s="8">
        <v>539</v>
      </c>
      <c r="D24" s="8">
        <v>539</v>
      </c>
      <c r="E24" s="16" t="s">
        <v>79</v>
      </c>
      <c r="G24" s="33" t="s">
        <v>372</v>
      </c>
      <c r="H24" s="20">
        <v>539</v>
      </c>
      <c r="I24" s="35">
        <v>539</v>
      </c>
    </row>
    <row r="25" spans="1:9" ht="30" x14ac:dyDescent="0.25">
      <c r="B25" s="11" t="s">
        <v>38</v>
      </c>
      <c r="C25" s="8">
        <v>256</v>
      </c>
      <c r="D25" s="8">
        <v>256</v>
      </c>
      <c r="E25" s="16" t="s">
        <v>79</v>
      </c>
      <c r="G25" s="33" t="s">
        <v>373</v>
      </c>
      <c r="H25" s="20">
        <v>256</v>
      </c>
      <c r="I25" s="35">
        <v>256</v>
      </c>
    </row>
    <row r="26" spans="1:9" ht="30" x14ac:dyDescent="0.25">
      <c r="B26" s="11" t="s">
        <v>39</v>
      </c>
      <c r="C26" s="8">
        <v>768</v>
      </c>
      <c r="D26" s="8">
        <v>768</v>
      </c>
      <c r="E26" s="16" t="s">
        <v>79</v>
      </c>
      <c r="G26" s="33" t="s">
        <v>374</v>
      </c>
      <c r="H26" s="20">
        <v>768</v>
      </c>
      <c r="I26" s="35">
        <v>768</v>
      </c>
    </row>
    <row r="27" spans="1:9" ht="30" x14ac:dyDescent="0.25">
      <c r="B27" s="11" t="s">
        <v>40</v>
      </c>
      <c r="C27" s="8">
        <v>8</v>
      </c>
      <c r="D27" s="8">
        <v>8</v>
      </c>
      <c r="E27" s="16" t="s">
        <v>79</v>
      </c>
      <c r="G27" s="33" t="s">
        <v>375</v>
      </c>
      <c r="H27" s="20">
        <v>8</v>
      </c>
      <c r="I27" s="35">
        <v>8</v>
      </c>
    </row>
    <row r="28" spans="1:9" ht="30" x14ac:dyDescent="0.25">
      <c r="B28" s="11" t="s">
        <v>41</v>
      </c>
      <c r="C28" s="8">
        <v>8</v>
      </c>
      <c r="D28" s="8">
        <v>8</v>
      </c>
      <c r="E28" s="16" t="s">
        <v>79</v>
      </c>
      <c r="G28" s="33" t="s">
        <v>376</v>
      </c>
      <c r="H28" s="20">
        <v>8</v>
      </c>
      <c r="I28" s="35">
        <v>8</v>
      </c>
    </row>
    <row r="29" spans="1:9" x14ac:dyDescent="0.25">
      <c r="A29" t="s">
        <v>42</v>
      </c>
      <c r="B29" s="11" t="s">
        <v>43</v>
      </c>
      <c r="C29" s="8">
        <v>19</v>
      </c>
      <c r="D29" s="8">
        <v>19</v>
      </c>
      <c r="E29" s="16" t="s">
        <v>79</v>
      </c>
      <c r="G29" s="33" t="s">
        <v>377</v>
      </c>
      <c r="H29" s="20">
        <v>19</v>
      </c>
      <c r="I29" s="35">
        <v>19</v>
      </c>
    </row>
    <row r="30" spans="1:9" x14ac:dyDescent="0.25">
      <c r="B30" s="11" t="s">
        <v>44</v>
      </c>
      <c r="C30" s="8">
        <v>10</v>
      </c>
      <c r="D30" s="8">
        <v>10</v>
      </c>
      <c r="E30" s="16" t="s">
        <v>79</v>
      </c>
      <c r="G30" s="33" t="s">
        <v>378</v>
      </c>
      <c r="H30" s="20">
        <v>10</v>
      </c>
      <c r="I30" s="35">
        <v>10</v>
      </c>
    </row>
    <row r="31" spans="1:9" x14ac:dyDescent="0.25">
      <c r="B31" s="11" t="s">
        <v>45</v>
      </c>
      <c r="C31" s="8" t="s">
        <v>10</v>
      </c>
      <c r="D31" s="8" t="s">
        <v>10</v>
      </c>
      <c r="E31" s="16" t="s">
        <v>79</v>
      </c>
      <c r="G31" s="33" t="s">
        <v>379</v>
      </c>
      <c r="H31" s="20">
        <v>1</v>
      </c>
      <c r="I31" s="35">
        <v>1</v>
      </c>
    </row>
    <row r="32" spans="1:9" x14ac:dyDescent="0.25">
      <c r="B32" s="11" t="s">
        <v>46</v>
      </c>
      <c r="C32" s="8" t="s">
        <v>54</v>
      </c>
      <c r="D32" s="8" t="s">
        <v>54</v>
      </c>
      <c r="E32" s="16" t="s">
        <v>79</v>
      </c>
      <c r="G32" s="33" t="s">
        <v>380</v>
      </c>
      <c r="H32" s="20">
        <v>1</v>
      </c>
      <c r="I32" s="35">
        <v>1</v>
      </c>
    </row>
    <row r="33" spans="1:9" ht="30" x14ac:dyDescent="0.25">
      <c r="B33" s="11" t="s">
        <v>47</v>
      </c>
      <c r="C33" s="8" t="s">
        <v>55</v>
      </c>
      <c r="D33" s="8" t="s">
        <v>55</v>
      </c>
      <c r="E33" s="16" t="s">
        <v>81</v>
      </c>
      <c r="G33" s="33" t="s">
        <v>381</v>
      </c>
      <c r="H33" s="20">
        <v>0</v>
      </c>
      <c r="I33" s="35">
        <v>0</v>
      </c>
    </row>
    <row r="34" spans="1:9" ht="30" x14ac:dyDescent="0.25">
      <c r="B34" s="11" t="s">
        <v>48</v>
      </c>
      <c r="C34" s="8" t="s">
        <v>5</v>
      </c>
      <c r="D34" s="8" t="s">
        <v>5</v>
      </c>
      <c r="E34" s="16" t="s">
        <v>82</v>
      </c>
      <c r="G34" s="33" t="s">
        <v>382</v>
      </c>
      <c r="H34" s="20">
        <v>0</v>
      </c>
      <c r="I34" s="35">
        <v>0</v>
      </c>
    </row>
    <row r="35" spans="1:9" ht="30" x14ac:dyDescent="0.25">
      <c r="B35" s="11" t="s">
        <v>49</v>
      </c>
      <c r="C35" s="8" t="s">
        <v>56</v>
      </c>
      <c r="D35" s="8" t="s">
        <v>56</v>
      </c>
      <c r="E35" s="16" t="s">
        <v>83</v>
      </c>
      <c r="G35" s="33" t="s">
        <v>383</v>
      </c>
      <c r="H35" s="20">
        <v>0</v>
      </c>
      <c r="I35" s="35">
        <v>0</v>
      </c>
    </row>
    <row r="36" spans="1:9" ht="30" x14ac:dyDescent="0.25">
      <c r="B36" s="11" t="s">
        <v>50</v>
      </c>
      <c r="C36" s="8" t="s">
        <v>56</v>
      </c>
      <c r="D36" s="8" t="s">
        <v>56</v>
      </c>
      <c r="E36" s="16" t="s">
        <v>83</v>
      </c>
      <c r="G36" s="33" t="s">
        <v>384</v>
      </c>
      <c r="H36" s="20">
        <v>0</v>
      </c>
      <c r="I36" s="35">
        <v>0</v>
      </c>
    </row>
    <row r="37" spans="1:9" ht="30" x14ac:dyDescent="0.25">
      <c r="B37" s="11" t="s">
        <v>51</v>
      </c>
      <c r="C37" s="8" t="s">
        <v>56</v>
      </c>
      <c r="D37" s="8" t="s">
        <v>56</v>
      </c>
      <c r="E37" s="16" t="s">
        <v>83</v>
      </c>
      <c r="G37" s="33" t="s">
        <v>385</v>
      </c>
      <c r="H37" s="20">
        <v>0</v>
      </c>
      <c r="I37" s="35">
        <v>0</v>
      </c>
    </row>
    <row r="38" spans="1:9" ht="30" x14ac:dyDescent="0.25">
      <c r="B38" s="11" t="s">
        <v>52</v>
      </c>
      <c r="C38" s="8" t="s">
        <v>56</v>
      </c>
      <c r="D38" s="8" t="s">
        <v>56</v>
      </c>
      <c r="E38" s="16" t="s">
        <v>83</v>
      </c>
      <c r="G38" s="33" t="s">
        <v>386</v>
      </c>
      <c r="H38" s="20">
        <v>0</v>
      </c>
      <c r="I38" s="35">
        <v>0</v>
      </c>
    </row>
    <row r="39" spans="1:9" ht="30" x14ac:dyDescent="0.25">
      <c r="B39" s="11" t="s">
        <v>53</v>
      </c>
      <c r="C39" s="8" t="s">
        <v>56</v>
      </c>
      <c r="D39" s="8" t="s">
        <v>56</v>
      </c>
      <c r="E39" s="16" t="s">
        <v>83</v>
      </c>
      <c r="G39" s="33" t="s">
        <v>387</v>
      </c>
      <c r="H39" s="20">
        <v>0</v>
      </c>
      <c r="I39" s="35">
        <v>0</v>
      </c>
    </row>
    <row r="40" spans="1:9" x14ac:dyDescent="0.25">
      <c r="A40" t="s">
        <v>57</v>
      </c>
      <c r="B40" s="11" t="s">
        <v>59</v>
      </c>
      <c r="C40" s="8" t="s">
        <v>58</v>
      </c>
      <c r="D40" s="8" t="s">
        <v>58</v>
      </c>
      <c r="E40" s="16" t="s">
        <v>84</v>
      </c>
      <c r="G40" s="33" t="s">
        <v>388</v>
      </c>
      <c r="H40" s="20">
        <v>0</v>
      </c>
      <c r="I40" s="35">
        <v>0</v>
      </c>
    </row>
    <row r="41" spans="1:9" ht="30" x14ac:dyDescent="0.25">
      <c r="A41" t="s">
        <v>60</v>
      </c>
      <c r="B41" s="11" t="s">
        <v>61</v>
      </c>
      <c r="C41" s="8">
        <v>32</v>
      </c>
      <c r="D41" s="8">
        <v>32</v>
      </c>
      <c r="E41" s="16" t="s">
        <v>79</v>
      </c>
      <c r="G41" s="33" t="s">
        <v>389</v>
      </c>
      <c r="H41" s="20">
        <v>32</v>
      </c>
      <c r="I41" s="35">
        <v>32</v>
      </c>
    </row>
    <row r="42" spans="1:9" ht="30" x14ac:dyDescent="0.25">
      <c r="B42" s="11" t="s">
        <v>62</v>
      </c>
      <c r="C42" s="8">
        <v>256</v>
      </c>
      <c r="D42" s="8">
        <v>256</v>
      </c>
      <c r="E42" s="16" t="s">
        <v>79</v>
      </c>
      <c r="G42" s="33" t="s">
        <v>389</v>
      </c>
      <c r="H42" s="20">
        <v>256</v>
      </c>
      <c r="I42" s="35">
        <v>356</v>
      </c>
    </row>
    <row r="43" spans="1:9" ht="30" x14ac:dyDescent="0.25">
      <c r="B43" s="11" t="s">
        <v>63</v>
      </c>
      <c r="C43" s="8">
        <v>256</v>
      </c>
      <c r="D43" s="8">
        <v>256</v>
      </c>
      <c r="E43" s="16" t="s">
        <v>79</v>
      </c>
      <c r="G43" s="33" t="s">
        <v>389</v>
      </c>
      <c r="H43" s="20">
        <v>256</v>
      </c>
      <c r="I43" s="35">
        <v>256</v>
      </c>
    </row>
    <row r="44" spans="1:9" ht="30" x14ac:dyDescent="0.25">
      <c r="B44" s="11" t="s">
        <v>64</v>
      </c>
      <c r="C44" s="8">
        <v>512</v>
      </c>
      <c r="D44" s="8">
        <v>512</v>
      </c>
      <c r="E44" s="16" t="s">
        <v>79</v>
      </c>
      <c r="G44" s="33" t="s">
        <v>389</v>
      </c>
      <c r="H44" s="20">
        <v>512</v>
      </c>
      <c r="I44" s="35">
        <v>512</v>
      </c>
    </row>
    <row r="45" spans="1:9" ht="30" x14ac:dyDescent="0.25">
      <c r="B45" s="11" t="s">
        <v>65</v>
      </c>
      <c r="C45" s="8">
        <v>512</v>
      </c>
      <c r="D45" s="8">
        <v>512</v>
      </c>
      <c r="E45" s="16" t="s">
        <v>79</v>
      </c>
      <c r="G45" s="33" t="s">
        <v>389</v>
      </c>
      <c r="H45" s="20">
        <v>512</v>
      </c>
      <c r="I45" s="35">
        <v>512</v>
      </c>
    </row>
    <row r="46" spans="1:9" ht="30" x14ac:dyDescent="0.25">
      <c r="B46" s="11" t="s">
        <v>66</v>
      </c>
      <c r="C46" s="8">
        <v>768</v>
      </c>
      <c r="D46" s="8">
        <v>768</v>
      </c>
      <c r="E46" s="16" t="s">
        <v>79</v>
      </c>
      <c r="G46" s="33" t="s">
        <v>389</v>
      </c>
      <c r="H46" s="20">
        <v>768</v>
      </c>
      <c r="I46" s="35">
        <v>768</v>
      </c>
    </row>
    <row r="47" spans="1:9" ht="30.75" thickBot="1" x14ac:dyDescent="0.3">
      <c r="B47" s="12" t="s">
        <v>67</v>
      </c>
      <c r="C47" s="17">
        <v>768</v>
      </c>
      <c r="D47" s="17">
        <v>768</v>
      </c>
      <c r="E47" s="18" t="s">
        <v>79</v>
      </c>
      <c r="G47" s="34" t="s">
        <v>389</v>
      </c>
      <c r="H47" s="22">
        <v>768</v>
      </c>
      <c r="I47" s="36">
        <v>768</v>
      </c>
    </row>
    <row r="48" spans="1:9" x14ac:dyDescent="0.25">
      <c r="B48" s="1"/>
      <c r="C48" s="2"/>
      <c r="D48" s="2"/>
      <c r="E48" s="1"/>
    </row>
    <row r="49" spans="2:5" x14ac:dyDescent="0.25">
      <c r="B49" s="1"/>
      <c r="C49" s="2"/>
      <c r="D49" s="2"/>
      <c r="E49" s="1"/>
    </row>
    <row r="50" spans="2:5" x14ac:dyDescent="0.25">
      <c r="B50" s="1"/>
      <c r="C50" s="2"/>
      <c r="D50" s="2"/>
      <c r="E50" s="1"/>
    </row>
    <row r="51" spans="2:5" x14ac:dyDescent="0.25">
      <c r="B51" s="1"/>
      <c r="C51" s="2"/>
      <c r="D51" s="2"/>
      <c r="E51" s="1"/>
    </row>
    <row r="52" spans="2:5" x14ac:dyDescent="0.25">
      <c r="B52" s="1"/>
      <c r="C52" s="2"/>
      <c r="D52" s="2"/>
      <c r="E52" s="1"/>
    </row>
    <row r="53" spans="2:5" x14ac:dyDescent="0.25">
      <c r="B53" s="1"/>
      <c r="C53" s="2"/>
      <c r="D53" s="2"/>
      <c r="E53" s="1"/>
    </row>
    <row r="54" spans="2:5" x14ac:dyDescent="0.25">
      <c r="B54" s="1"/>
      <c r="C54" s="2"/>
      <c r="D54" s="2"/>
      <c r="E54" s="1"/>
    </row>
    <row r="55" spans="2:5" x14ac:dyDescent="0.25">
      <c r="B55" s="1"/>
      <c r="C55" s="2"/>
      <c r="D55" s="2"/>
      <c r="E55" s="1"/>
    </row>
    <row r="56" spans="2:5" x14ac:dyDescent="0.25">
      <c r="B56" s="1"/>
      <c r="C56" s="2"/>
      <c r="D56" s="2"/>
      <c r="E56" s="1"/>
    </row>
    <row r="57" spans="2:5" x14ac:dyDescent="0.25">
      <c r="B57" s="1"/>
      <c r="C57" s="2"/>
      <c r="D57" s="2"/>
      <c r="E57" s="1"/>
    </row>
    <row r="58" spans="2:5" x14ac:dyDescent="0.25">
      <c r="B58" s="1"/>
      <c r="C58" s="2"/>
      <c r="D58" s="2"/>
      <c r="E58" s="1"/>
    </row>
    <row r="59" spans="2:5" x14ac:dyDescent="0.25">
      <c r="B59" s="1"/>
      <c r="C59" s="2"/>
      <c r="D59" s="2"/>
      <c r="E59" s="1"/>
    </row>
    <row r="60" spans="2:5" x14ac:dyDescent="0.25">
      <c r="B60" s="1"/>
      <c r="C60" s="2"/>
      <c r="D60" s="2"/>
      <c r="E60" s="1"/>
    </row>
    <row r="61" spans="2:5" x14ac:dyDescent="0.25">
      <c r="B61" s="1"/>
      <c r="C61" s="2"/>
      <c r="D61" s="2"/>
      <c r="E61" s="1"/>
    </row>
    <row r="62" spans="2:5" x14ac:dyDescent="0.25">
      <c r="B62" s="1"/>
      <c r="C62" s="2"/>
      <c r="D62" s="2"/>
      <c r="E62" s="1"/>
    </row>
    <row r="63" spans="2:5" x14ac:dyDescent="0.25">
      <c r="B63" s="1"/>
      <c r="C63" s="2"/>
      <c r="D63" s="2"/>
      <c r="E63" s="1"/>
    </row>
    <row r="64" spans="2:5" x14ac:dyDescent="0.25">
      <c r="B64" s="1"/>
      <c r="C64" s="2"/>
      <c r="D64" s="2"/>
      <c r="E64" s="1"/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8"/>
  <sheetViews>
    <sheetView workbookViewId="0"/>
  </sheetViews>
  <sheetFormatPr defaultRowHeight="15" x14ac:dyDescent="0.25"/>
  <cols>
    <col min="1" max="1" width="24.28515625" customWidth="1"/>
    <col min="2" max="2" width="19" style="3" customWidth="1"/>
    <col min="3" max="3" width="38" customWidth="1"/>
    <col min="5" max="5" width="22.5703125" customWidth="1"/>
    <col min="6" max="6" width="15" customWidth="1"/>
  </cols>
  <sheetData>
    <row r="1" spans="1:6" ht="15.75" x14ac:dyDescent="0.25">
      <c r="A1" s="9" t="s">
        <v>11</v>
      </c>
      <c r="B1" s="15" t="s">
        <v>85</v>
      </c>
      <c r="C1" s="10" t="s">
        <v>265</v>
      </c>
      <c r="E1" s="37" t="s">
        <v>349</v>
      </c>
      <c r="F1" s="39" t="s">
        <v>390</v>
      </c>
    </row>
    <row r="2" spans="1:6" ht="45" x14ac:dyDescent="0.25">
      <c r="A2" s="11" t="s">
        <v>86</v>
      </c>
      <c r="B2" s="8" t="s">
        <v>87</v>
      </c>
      <c r="C2" s="16" t="s">
        <v>105</v>
      </c>
      <c r="E2" s="33" t="s">
        <v>395</v>
      </c>
      <c r="F2" s="35">
        <v>1</v>
      </c>
    </row>
    <row r="3" spans="1:6" ht="30" x14ac:dyDescent="0.25">
      <c r="A3" s="11" t="s">
        <v>88</v>
      </c>
      <c r="B3" s="8">
        <v>2</v>
      </c>
      <c r="C3" s="16" t="s">
        <v>106</v>
      </c>
      <c r="E3" s="33" t="s">
        <v>396</v>
      </c>
      <c r="F3" s="35">
        <v>2</v>
      </c>
    </row>
    <row r="4" spans="1:6" x14ac:dyDescent="0.25">
      <c r="A4" s="11" t="s">
        <v>89</v>
      </c>
      <c r="B4" s="8" t="s">
        <v>90</v>
      </c>
      <c r="C4" s="16" t="s">
        <v>113</v>
      </c>
      <c r="E4" s="33" t="s">
        <v>397</v>
      </c>
      <c r="F4" s="35">
        <v>1</v>
      </c>
    </row>
    <row r="5" spans="1:6" x14ac:dyDescent="0.25">
      <c r="A5" s="11" t="s">
        <v>91</v>
      </c>
      <c r="B5" s="8">
        <v>32</v>
      </c>
      <c r="C5" s="16" t="s">
        <v>113</v>
      </c>
      <c r="E5" s="33" t="s">
        <v>398</v>
      </c>
      <c r="F5" s="35">
        <v>32</v>
      </c>
    </row>
    <row r="6" spans="1:6" x14ac:dyDescent="0.25">
      <c r="A6" s="11" t="s">
        <v>92</v>
      </c>
      <c r="B6" s="8">
        <v>9</v>
      </c>
      <c r="C6" s="16" t="s">
        <v>108</v>
      </c>
      <c r="E6" s="33" t="s">
        <v>399</v>
      </c>
      <c r="F6" s="35">
        <v>9</v>
      </c>
    </row>
    <row r="7" spans="1:6" x14ac:dyDescent="0.25">
      <c r="A7" s="11" t="s">
        <v>93</v>
      </c>
      <c r="B7" s="8" t="s">
        <v>94</v>
      </c>
      <c r="C7" s="16" t="s">
        <v>113</v>
      </c>
      <c r="E7" s="33" t="s">
        <v>400</v>
      </c>
      <c r="F7" s="35">
        <v>1</v>
      </c>
    </row>
    <row r="8" spans="1:6" x14ac:dyDescent="0.25">
      <c r="A8" s="11" t="s">
        <v>95</v>
      </c>
      <c r="B8" s="8">
        <v>16</v>
      </c>
      <c r="C8" s="16" t="s">
        <v>107</v>
      </c>
      <c r="E8" s="33" t="s">
        <v>401</v>
      </c>
      <c r="F8" s="35">
        <v>16</v>
      </c>
    </row>
    <row r="9" spans="1:6" ht="30" x14ac:dyDescent="0.25">
      <c r="A9" s="11" t="s">
        <v>96</v>
      </c>
      <c r="B9" s="8" t="s">
        <v>97</v>
      </c>
      <c r="C9" s="16" t="s">
        <v>109</v>
      </c>
      <c r="E9" s="33" t="s">
        <v>402</v>
      </c>
      <c r="F9" s="35">
        <v>1</v>
      </c>
    </row>
    <row r="10" spans="1:6" x14ac:dyDescent="0.25">
      <c r="A10" s="11" t="s">
        <v>98</v>
      </c>
      <c r="B10" s="8">
        <v>1</v>
      </c>
      <c r="C10" s="16" t="s">
        <v>110</v>
      </c>
      <c r="E10" s="33" t="s">
        <v>403</v>
      </c>
      <c r="F10" s="35">
        <v>1</v>
      </c>
    </row>
    <row r="11" spans="1:6" ht="30" x14ac:dyDescent="0.25">
      <c r="A11" s="11" t="s">
        <v>99</v>
      </c>
      <c r="B11" s="8" t="s">
        <v>100</v>
      </c>
      <c r="C11" s="16" t="s">
        <v>111</v>
      </c>
      <c r="E11" s="33" t="s">
        <v>404</v>
      </c>
      <c r="F11" s="40" t="s">
        <v>100</v>
      </c>
    </row>
    <row r="12" spans="1:6" ht="30" x14ac:dyDescent="0.25">
      <c r="A12" s="11" t="s">
        <v>101</v>
      </c>
      <c r="B12" s="8" t="s">
        <v>94</v>
      </c>
      <c r="C12" s="16" t="s">
        <v>112</v>
      </c>
      <c r="E12" s="33" t="s">
        <v>405</v>
      </c>
      <c r="F12" s="35">
        <v>1</v>
      </c>
    </row>
    <row r="13" spans="1:6" ht="30" x14ac:dyDescent="0.25">
      <c r="A13" s="11" t="s">
        <v>102</v>
      </c>
      <c r="B13" s="8" t="s">
        <v>103</v>
      </c>
      <c r="C13" s="16" t="s">
        <v>111</v>
      </c>
      <c r="E13" s="33" t="s">
        <v>406</v>
      </c>
      <c r="F13" s="35">
        <v>0</v>
      </c>
    </row>
    <row r="14" spans="1:6" ht="30.75" thickBot="1" x14ac:dyDescent="0.3">
      <c r="A14" s="12" t="s">
        <v>104</v>
      </c>
      <c r="B14" s="17" t="s">
        <v>103</v>
      </c>
      <c r="C14" s="18" t="s">
        <v>111</v>
      </c>
      <c r="E14" s="34" t="s">
        <v>407</v>
      </c>
      <c r="F14" s="36">
        <v>0</v>
      </c>
    </row>
    <row r="15" spans="1:6" x14ac:dyDescent="0.25">
      <c r="A15" s="1"/>
      <c r="B15" s="2"/>
      <c r="C15" s="1"/>
    </row>
    <row r="16" spans="1:6" x14ac:dyDescent="0.25">
      <c r="A16" s="1"/>
      <c r="B16" s="2"/>
      <c r="C16" s="1"/>
    </row>
    <row r="17" spans="1:3" x14ac:dyDescent="0.25">
      <c r="A17" s="1"/>
      <c r="B17" s="2"/>
      <c r="C17" s="1"/>
    </row>
    <row r="18" spans="1:3" x14ac:dyDescent="0.25">
      <c r="A18" s="1"/>
      <c r="B18" s="2"/>
      <c r="C18" s="1"/>
    </row>
    <row r="19" spans="1:3" x14ac:dyDescent="0.25">
      <c r="A19" s="1"/>
      <c r="B19" s="2"/>
      <c r="C19" s="1"/>
    </row>
    <row r="20" spans="1:3" x14ac:dyDescent="0.25">
      <c r="A20" s="1"/>
      <c r="B20" s="2"/>
      <c r="C20" s="1"/>
    </row>
    <row r="21" spans="1:3" x14ac:dyDescent="0.25">
      <c r="A21" s="1"/>
      <c r="B21" s="2"/>
      <c r="C21" s="1"/>
    </row>
    <row r="22" spans="1:3" x14ac:dyDescent="0.25">
      <c r="A22" s="1"/>
      <c r="B22" s="2"/>
      <c r="C22" s="1"/>
    </row>
    <row r="23" spans="1:3" x14ac:dyDescent="0.25">
      <c r="A23" s="1"/>
      <c r="B23" s="2"/>
      <c r="C23" s="1"/>
    </row>
    <row r="24" spans="1:3" x14ac:dyDescent="0.25">
      <c r="A24" s="1"/>
      <c r="B24" s="2"/>
      <c r="C24" s="1"/>
    </row>
    <row r="25" spans="1:3" x14ac:dyDescent="0.25">
      <c r="A25" s="1"/>
      <c r="B25" s="2"/>
      <c r="C25" s="1"/>
    </row>
    <row r="26" spans="1:3" x14ac:dyDescent="0.25">
      <c r="A26" s="1"/>
      <c r="B26" s="2"/>
      <c r="C26" s="1"/>
    </row>
    <row r="27" spans="1:3" x14ac:dyDescent="0.25">
      <c r="A27" s="1"/>
      <c r="B27" s="2"/>
      <c r="C27" s="1"/>
    </row>
    <row r="28" spans="1:3" x14ac:dyDescent="0.25">
      <c r="A28" s="1"/>
      <c r="B28" s="2"/>
      <c r="C28" s="1"/>
    </row>
    <row r="29" spans="1:3" x14ac:dyDescent="0.25">
      <c r="A29" s="1"/>
      <c r="B29" s="2"/>
      <c r="C29" s="1"/>
    </row>
    <row r="30" spans="1:3" x14ac:dyDescent="0.25">
      <c r="A30" s="1"/>
      <c r="B30" s="2"/>
      <c r="C30" s="1"/>
    </row>
    <row r="31" spans="1:3" x14ac:dyDescent="0.25">
      <c r="A31" s="1"/>
      <c r="B31" s="2"/>
      <c r="C31" s="1"/>
    </row>
    <row r="32" spans="1:3" x14ac:dyDescent="0.25">
      <c r="A32" s="1"/>
      <c r="B32" s="2"/>
      <c r="C32" s="1"/>
    </row>
    <row r="33" spans="1:3" x14ac:dyDescent="0.25">
      <c r="A33" s="1"/>
      <c r="B33" s="2"/>
      <c r="C33" s="1"/>
    </row>
    <row r="34" spans="1:3" x14ac:dyDescent="0.25">
      <c r="A34" s="1"/>
      <c r="B34" s="2"/>
      <c r="C34" s="1"/>
    </row>
    <row r="35" spans="1:3" x14ac:dyDescent="0.25">
      <c r="A35" s="1"/>
      <c r="B35" s="2"/>
      <c r="C35" s="1"/>
    </row>
    <row r="36" spans="1:3" x14ac:dyDescent="0.25">
      <c r="A36" s="1"/>
      <c r="B36" s="2"/>
      <c r="C36" s="1"/>
    </row>
    <row r="37" spans="1:3" x14ac:dyDescent="0.25">
      <c r="A37" s="1"/>
      <c r="B37" s="2"/>
      <c r="C37" s="1"/>
    </row>
    <row r="38" spans="1:3" x14ac:dyDescent="0.25">
      <c r="A38" s="1"/>
      <c r="B38" s="2"/>
      <c r="C38" s="1"/>
    </row>
    <row r="39" spans="1:3" x14ac:dyDescent="0.25">
      <c r="A39" s="1"/>
      <c r="B39" s="2"/>
      <c r="C39" s="1"/>
    </row>
    <row r="40" spans="1:3" x14ac:dyDescent="0.25">
      <c r="A40" s="1"/>
      <c r="B40" s="2"/>
      <c r="C40" s="1"/>
    </row>
    <row r="41" spans="1:3" x14ac:dyDescent="0.25">
      <c r="A41" s="1"/>
      <c r="B41" s="2"/>
      <c r="C41" s="1"/>
    </row>
    <row r="42" spans="1:3" x14ac:dyDescent="0.25">
      <c r="A42" s="1"/>
      <c r="B42" s="2"/>
      <c r="C42" s="1"/>
    </row>
    <row r="43" spans="1:3" x14ac:dyDescent="0.25">
      <c r="A43" s="1"/>
      <c r="B43" s="2"/>
      <c r="C43" s="1"/>
    </row>
    <row r="44" spans="1:3" x14ac:dyDescent="0.25">
      <c r="A44" s="1"/>
      <c r="B44" s="2"/>
      <c r="C44" s="1"/>
    </row>
    <row r="45" spans="1:3" x14ac:dyDescent="0.25">
      <c r="A45" s="1"/>
      <c r="B45" s="2"/>
      <c r="C45" s="1"/>
    </row>
    <row r="46" spans="1:3" x14ac:dyDescent="0.25">
      <c r="A46" s="1"/>
      <c r="B46" s="2"/>
      <c r="C46" s="1"/>
    </row>
    <row r="47" spans="1:3" x14ac:dyDescent="0.25">
      <c r="A47" s="1"/>
      <c r="B47" s="2"/>
      <c r="C47" s="1"/>
    </row>
    <row r="48" spans="1:3" x14ac:dyDescent="0.25">
      <c r="A48" s="1"/>
      <c r="B48" s="2"/>
      <c r="C48" s="1"/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1"/>
  <sheetViews>
    <sheetView zoomScale="90" zoomScaleNormal="90" workbookViewId="0"/>
  </sheetViews>
  <sheetFormatPr defaultRowHeight="15" x14ac:dyDescent="0.25"/>
  <cols>
    <col min="1" max="1" width="32.7109375" customWidth="1"/>
    <col min="2" max="4" width="19.42578125" customWidth="1"/>
    <col min="5" max="5" width="49.5703125" customWidth="1"/>
    <col min="7" max="7" width="26.85546875" customWidth="1"/>
    <col min="8" max="11" width="13.85546875" customWidth="1"/>
  </cols>
  <sheetData>
    <row r="1" spans="1:11" ht="47.25" x14ac:dyDescent="0.25">
      <c r="A1" s="9" t="s">
        <v>11</v>
      </c>
      <c r="B1" s="15" t="s">
        <v>1366</v>
      </c>
      <c r="C1" s="15" t="s">
        <v>1367</v>
      </c>
      <c r="D1" s="15" t="s">
        <v>1368</v>
      </c>
      <c r="E1" s="10" t="s">
        <v>265</v>
      </c>
      <c r="G1" s="37" t="s">
        <v>349</v>
      </c>
      <c r="H1" s="75" t="s">
        <v>791</v>
      </c>
      <c r="I1" s="75" t="s">
        <v>798</v>
      </c>
      <c r="J1" s="75" t="s">
        <v>799</v>
      </c>
      <c r="K1" s="72" t="s">
        <v>800</v>
      </c>
    </row>
    <row r="2" spans="1:11" x14ac:dyDescent="0.25">
      <c r="A2" s="11" t="s">
        <v>114</v>
      </c>
      <c r="B2" s="8">
        <v>32</v>
      </c>
      <c r="C2" s="8">
        <v>32</v>
      </c>
      <c r="D2" s="8">
        <v>32</v>
      </c>
      <c r="E2" s="19" t="s">
        <v>127</v>
      </c>
      <c r="G2" s="33" t="s">
        <v>408</v>
      </c>
      <c r="H2" s="20">
        <v>32</v>
      </c>
      <c r="I2" s="20">
        <v>32</v>
      </c>
      <c r="J2" s="20">
        <v>32</v>
      </c>
      <c r="K2" s="35">
        <v>32</v>
      </c>
    </row>
    <row r="3" spans="1:11" x14ac:dyDescent="0.25">
      <c r="A3" s="11" t="s">
        <v>115</v>
      </c>
      <c r="B3" s="8">
        <v>32</v>
      </c>
      <c r="C3" s="8">
        <v>32</v>
      </c>
      <c r="D3" s="8">
        <v>32</v>
      </c>
      <c r="E3" s="19"/>
      <c r="G3" s="33" t="s">
        <v>409</v>
      </c>
      <c r="H3" s="20">
        <v>32</v>
      </c>
      <c r="I3" s="20">
        <v>32</v>
      </c>
      <c r="J3" s="20">
        <v>32</v>
      </c>
      <c r="K3" s="35">
        <v>32</v>
      </c>
    </row>
    <row r="4" spans="1:11" x14ac:dyDescent="0.25">
      <c r="A4" s="11" t="s">
        <v>116</v>
      </c>
      <c r="B4" s="8" t="s">
        <v>125</v>
      </c>
      <c r="C4" s="8" t="s">
        <v>125</v>
      </c>
      <c r="D4" s="8" t="s">
        <v>125</v>
      </c>
      <c r="E4" s="19" t="s">
        <v>128</v>
      </c>
      <c r="G4" s="33" t="s">
        <v>410</v>
      </c>
      <c r="H4" s="20">
        <v>1</v>
      </c>
      <c r="I4" s="20">
        <v>1</v>
      </c>
      <c r="J4" s="20">
        <v>1</v>
      </c>
      <c r="K4" s="35">
        <v>1</v>
      </c>
    </row>
    <row r="5" spans="1:11" x14ac:dyDescent="0.25">
      <c r="A5" s="11" t="s">
        <v>117</v>
      </c>
      <c r="B5" s="8" t="s">
        <v>94</v>
      </c>
      <c r="C5" s="8" t="s">
        <v>94</v>
      </c>
      <c r="D5" s="8" t="s">
        <v>94</v>
      </c>
      <c r="E5" s="19" t="s">
        <v>129</v>
      </c>
      <c r="G5" s="33" t="s">
        <v>411</v>
      </c>
      <c r="H5" s="20">
        <v>2</v>
      </c>
      <c r="I5" s="20">
        <v>2</v>
      </c>
      <c r="J5" s="20">
        <v>2</v>
      </c>
      <c r="K5" s="35">
        <v>2</v>
      </c>
    </row>
    <row r="6" spans="1:11" x14ac:dyDescent="0.25">
      <c r="A6" s="11" t="s">
        <v>118</v>
      </c>
      <c r="B6" s="8" t="s">
        <v>94</v>
      </c>
      <c r="C6" s="8" t="s">
        <v>103</v>
      </c>
      <c r="D6" s="8" t="s">
        <v>103</v>
      </c>
      <c r="E6" s="19" t="s">
        <v>130</v>
      </c>
      <c r="G6" s="33" t="s">
        <v>412</v>
      </c>
      <c r="H6" s="20">
        <v>1</v>
      </c>
      <c r="I6" s="20">
        <v>0</v>
      </c>
      <c r="J6" s="20">
        <v>0</v>
      </c>
      <c r="K6" s="35">
        <v>0</v>
      </c>
    </row>
    <row r="7" spans="1:11" ht="30" x14ac:dyDescent="0.25">
      <c r="A7" s="11" t="s">
        <v>119</v>
      </c>
      <c r="B7" s="8" t="s">
        <v>94</v>
      </c>
      <c r="C7" s="8" t="s">
        <v>94</v>
      </c>
      <c r="D7" s="8" t="s">
        <v>94</v>
      </c>
      <c r="E7" s="19" t="s">
        <v>131</v>
      </c>
      <c r="G7" s="33" t="s">
        <v>413</v>
      </c>
      <c r="H7" s="20">
        <v>1</v>
      </c>
      <c r="I7" s="20">
        <v>1</v>
      </c>
      <c r="J7" s="20">
        <v>1</v>
      </c>
      <c r="K7" s="35">
        <v>1</v>
      </c>
    </row>
    <row r="8" spans="1:11" x14ac:dyDescent="0.25">
      <c r="A8" s="11" t="s">
        <v>120</v>
      </c>
      <c r="B8" s="8" t="s">
        <v>103</v>
      </c>
      <c r="C8" s="8" t="s">
        <v>94</v>
      </c>
      <c r="D8" s="8" t="s">
        <v>103</v>
      </c>
      <c r="E8" s="19" t="s">
        <v>132</v>
      </c>
      <c r="G8" s="33" t="s">
        <v>414</v>
      </c>
      <c r="H8" s="20">
        <v>0</v>
      </c>
      <c r="I8" s="20">
        <v>0</v>
      </c>
      <c r="J8" s="20">
        <v>0</v>
      </c>
      <c r="K8" s="35">
        <v>1</v>
      </c>
    </row>
    <row r="9" spans="1:11" ht="30" x14ac:dyDescent="0.25">
      <c r="A9" s="11" t="s">
        <v>274</v>
      </c>
      <c r="B9" s="8" t="s">
        <v>103</v>
      </c>
      <c r="C9" s="8" t="s">
        <v>103</v>
      </c>
      <c r="D9" s="8" t="s">
        <v>103</v>
      </c>
      <c r="E9" s="19" t="s">
        <v>133</v>
      </c>
      <c r="G9" s="33" t="s">
        <v>415</v>
      </c>
      <c r="H9" s="20">
        <v>0</v>
      </c>
      <c r="I9" s="20">
        <v>0</v>
      </c>
      <c r="J9" s="20">
        <v>0</v>
      </c>
      <c r="K9" s="35">
        <v>0</v>
      </c>
    </row>
    <row r="10" spans="1:11" x14ac:dyDescent="0.25">
      <c r="A10" s="11" t="s">
        <v>121</v>
      </c>
      <c r="B10" s="8" t="s">
        <v>103</v>
      </c>
      <c r="C10" s="8" t="s">
        <v>103</v>
      </c>
      <c r="D10" s="8" t="s">
        <v>103</v>
      </c>
      <c r="E10" s="19" t="s">
        <v>133</v>
      </c>
      <c r="G10" s="33" t="s">
        <v>416</v>
      </c>
      <c r="H10" s="20">
        <v>0</v>
      </c>
      <c r="I10" s="20">
        <v>0</v>
      </c>
      <c r="J10" s="20">
        <v>0</v>
      </c>
      <c r="K10" s="35">
        <v>0</v>
      </c>
    </row>
    <row r="11" spans="1:11" ht="30" x14ac:dyDescent="0.25">
      <c r="A11" s="11" t="s">
        <v>273</v>
      </c>
      <c r="B11" s="8" t="s">
        <v>94</v>
      </c>
      <c r="C11" s="8" t="s">
        <v>103</v>
      </c>
      <c r="D11" s="8" t="s">
        <v>1388</v>
      </c>
      <c r="E11" s="19" t="s">
        <v>418</v>
      </c>
      <c r="G11" s="33" t="s">
        <v>417</v>
      </c>
      <c r="H11" s="20">
        <v>1</v>
      </c>
      <c r="I11" s="81" t="s">
        <v>1479</v>
      </c>
      <c r="J11" s="81" t="s">
        <v>1480</v>
      </c>
      <c r="K11" s="35">
        <v>0</v>
      </c>
    </row>
    <row r="12" spans="1:11" x14ac:dyDescent="0.25">
      <c r="A12" s="11" t="s">
        <v>122</v>
      </c>
      <c r="B12" s="8" t="s">
        <v>94</v>
      </c>
      <c r="C12" s="8" t="s">
        <v>94</v>
      </c>
      <c r="D12" s="8" t="s">
        <v>94</v>
      </c>
      <c r="E12" s="19" t="s">
        <v>418</v>
      </c>
      <c r="G12" s="33" t="s">
        <v>419</v>
      </c>
      <c r="H12" s="20">
        <v>1</v>
      </c>
      <c r="I12" s="20">
        <v>1</v>
      </c>
      <c r="J12" s="20">
        <v>1</v>
      </c>
      <c r="K12" s="35">
        <v>1</v>
      </c>
    </row>
    <row r="13" spans="1:11" ht="30" x14ac:dyDescent="0.25">
      <c r="A13" s="11" t="s">
        <v>123</v>
      </c>
      <c r="B13" s="8" t="s">
        <v>103</v>
      </c>
      <c r="C13" s="8" t="s">
        <v>94</v>
      </c>
      <c r="D13" s="8" t="s">
        <v>103</v>
      </c>
      <c r="E13" s="19" t="s">
        <v>132</v>
      </c>
      <c r="G13" s="33" t="s">
        <v>420</v>
      </c>
      <c r="H13" s="20">
        <v>0</v>
      </c>
      <c r="I13" s="20">
        <v>0</v>
      </c>
      <c r="J13" s="20">
        <v>0</v>
      </c>
      <c r="K13" s="35">
        <v>1</v>
      </c>
    </row>
    <row r="14" spans="1:11" ht="30" x14ac:dyDescent="0.25">
      <c r="A14" s="11" t="s">
        <v>266</v>
      </c>
      <c r="B14" s="8" t="s">
        <v>103</v>
      </c>
      <c r="C14" s="8" t="s">
        <v>94</v>
      </c>
      <c r="D14" s="8" t="s">
        <v>103</v>
      </c>
      <c r="E14" s="19" t="s">
        <v>132</v>
      </c>
      <c r="G14" s="33" t="s">
        <v>421</v>
      </c>
      <c r="H14" s="20">
        <v>0</v>
      </c>
      <c r="I14" s="20">
        <v>0</v>
      </c>
      <c r="J14" s="20">
        <v>0</v>
      </c>
      <c r="K14" s="35">
        <v>1</v>
      </c>
    </row>
    <row r="15" spans="1:11" ht="30" x14ac:dyDescent="0.25">
      <c r="A15" s="11" t="s">
        <v>267</v>
      </c>
      <c r="B15" s="8" t="s">
        <v>103</v>
      </c>
      <c r="C15" s="8" t="s">
        <v>103</v>
      </c>
      <c r="D15" s="8" t="s">
        <v>103</v>
      </c>
      <c r="E15" s="19" t="s">
        <v>134</v>
      </c>
      <c r="G15" s="33" t="s">
        <v>422</v>
      </c>
      <c r="H15" s="20">
        <v>0</v>
      </c>
      <c r="I15" s="20">
        <v>0</v>
      </c>
      <c r="J15" s="20">
        <v>0</v>
      </c>
      <c r="K15" s="35">
        <v>0</v>
      </c>
    </row>
    <row r="16" spans="1:11" ht="30" x14ac:dyDescent="0.25">
      <c r="A16" s="11" t="s">
        <v>268</v>
      </c>
      <c r="B16" s="8" t="s">
        <v>94</v>
      </c>
      <c r="C16" s="8" t="s">
        <v>103</v>
      </c>
      <c r="D16" s="8" t="s">
        <v>103</v>
      </c>
      <c r="E16" s="19" t="s">
        <v>126</v>
      </c>
      <c r="G16" s="33" t="s">
        <v>423</v>
      </c>
      <c r="H16" s="20">
        <v>1</v>
      </c>
      <c r="I16" s="20">
        <v>0</v>
      </c>
      <c r="J16" s="20">
        <v>0</v>
      </c>
      <c r="K16" s="35">
        <v>0</v>
      </c>
    </row>
    <row r="17" spans="1:11" ht="60" x14ac:dyDescent="0.25">
      <c r="A17" s="11" t="s">
        <v>269</v>
      </c>
      <c r="B17" s="8" t="s">
        <v>94</v>
      </c>
      <c r="C17" s="8" t="s">
        <v>94</v>
      </c>
      <c r="D17" s="8" t="s">
        <v>94</v>
      </c>
      <c r="E17" s="19" t="s">
        <v>135</v>
      </c>
      <c r="G17" s="33" t="s">
        <v>424</v>
      </c>
      <c r="H17" s="20">
        <v>1</v>
      </c>
      <c r="I17" s="20">
        <v>1</v>
      </c>
      <c r="J17" s="20">
        <v>1</v>
      </c>
      <c r="K17" s="35">
        <v>1</v>
      </c>
    </row>
    <row r="18" spans="1:11" ht="30" x14ac:dyDescent="0.25">
      <c r="A18" s="11" t="s">
        <v>270</v>
      </c>
      <c r="B18" s="8" t="s">
        <v>103</v>
      </c>
      <c r="C18" s="8" t="s">
        <v>103</v>
      </c>
      <c r="D18" s="8" t="s">
        <v>103</v>
      </c>
      <c r="E18" s="19" t="s">
        <v>135</v>
      </c>
      <c r="G18" s="33" t="s">
        <v>425</v>
      </c>
      <c r="H18" s="20">
        <v>0</v>
      </c>
      <c r="I18" s="20">
        <v>0</v>
      </c>
      <c r="J18" s="20">
        <v>0</v>
      </c>
      <c r="K18" s="35">
        <v>0</v>
      </c>
    </row>
    <row r="19" spans="1:11" ht="45" x14ac:dyDescent="0.25">
      <c r="A19" s="11" t="s">
        <v>271</v>
      </c>
      <c r="B19" s="8" t="s">
        <v>94</v>
      </c>
      <c r="C19" s="8" t="s">
        <v>94</v>
      </c>
      <c r="D19" s="8" t="s">
        <v>94</v>
      </c>
      <c r="E19" s="19" t="s">
        <v>136</v>
      </c>
      <c r="G19" s="33" t="s">
        <v>426</v>
      </c>
      <c r="H19" s="20">
        <v>1</v>
      </c>
      <c r="I19" s="20">
        <v>1</v>
      </c>
      <c r="J19" s="20">
        <v>1</v>
      </c>
      <c r="K19" s="35">
        <v>1</v>
      </c>
    </row>
    <row r="20" spans="1:11" ht="30" x14ac:dyDescent="0.25">
      <c r="A20" s="11" t="s">
        <v>272</v>
      </c>
      <c r="B20" s="8" t="s">
        <v>94</v>
      </c>
      <c r="C20" s="8" t="s">
        <v>94</v>
      </c>
      <c r="D20" s="8" t="s">
        <v>94</v>
      </c>
      <c r="E20" s="19" t="s">
        <v>1484</v>
      </c>
      <c r="G20" s="33" t="s">
        <v>427</v>
      </c>
      <c r="H20" s="20">
        <v>1</v>
      </c>
      <c r="I20" s="20">
        <v>1</v>
      </c>
      <c r="J20" s="20">
        <v>1</v>
      </c>
      <c r="K20" s="35">
        <v>1</v>
      </c>
    </row>
    <row r="21" spans="1:11" ht="15.75" thickBot="1" x14ac:dyDescent="0.3">
      <c r="A21" s="12" t="s">
        <v>124</v>
      </c>
      <c r="B21" s="17" t="s">
        <v>94</v>
      </c>
      <c r="C21" s="17" t="s">
        <v>103</v>
      </c>
      <c r="D21" s="17" t="s">
        <v>103</v>
      </c>
      <c r="E21" s="24" t="s">
        <v>137</v>
      </c>
      <c r="G21" s="34" t="s">
        <v>428</v>
      </c>
      <c r="H21" s="22">
        <v>1</v>
      </c>
      <c r="I21" s="22">
        <v>0</v>
      </c>
      <c r="J21" s="22">
        <v>0</v>
      </c>
      <c r="K21" s="36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6"/>
  <sheetViews>
    <sheetView workbookViewId="0"/>
  </sheetViews>
  <sheetFormatPr defaultRowHeight="15" x14ac:dyDescent="0.25"/>
  <cols>
    <col min="1" max="1" width="29.5703125" customWidth="1"/>
    <col min="2" max="2" width="17.7109375" style="4" customWidth="1"/>
    <col min="3" max="3" width="39.85546875" customWidth="1"/>
    <col min="5" max="5" width="26.28515625" customWidth="1"/>
    <col min="6" max="6" width="12.5703125" customWidth="1"/>
  </cols>
  <sheetData>
    <row r="1" spans="1:6" ht="31.5" x14ac:dyDescent="0.25">
      <c r="A1" s="9" t="s">
        <v>11</v>
      </c>
      <c r="B1" s="15" t="s">
        <v>85</v>
      </c>
      <c r="C1" s="10" t="s">
        <v>265</v>
      </c>
      <c r="E1" s="37" t="s">
        <v>349</v>
      </c>
      <c r="F1" s="39" t="s">
        <v>390</v>
      </c>
    </row>
    <row r="2" spans="1:6" x14ac:dyDescent="0.25">
      <c r="A2" s="13" t="s">
        <v>138</v>
      </c>
      <c r="B2" s="8">
        <v>32</v>
      </c>
      <c r="C2" s="16" t="s">
        <v>152</v>
      </c>
      <c r="E2" s="33" t="s">
        <v>408</v>
      </c>
      <c r="F2" s="35">
        <v>32</v>
      </c>
    </row>
    <row r="3" spans="1:6" ht="30" x14ac:dyDescent="0.25">
      <c r="A3" s="13" t="s">
        <v>276</v>
      </c>
      <c r="B3" s="8" t="s">
        <v>103</v>
      </c>
      <c r="C3" s="16" t="s">
        <v>277</v>
      </c>
      <c r="E3" s="33" t="s">
        <v>430</v>
      </c>
      <c r="F3" s="35">
        <v>0</v>
      </c>
    </row>
    <row r="4" spans="1:6" ht="30" x14ac:dyDescent="0.25">
      <c r="A4" s="13" t="s">
        <v>275</v>
      </c>
      <c r="B4" s="8" t="s">
        <v>103</v>
      </c>
      <c r="C4" s="16" t="s">
        <v>151</v>
      </c>
      <c r="E4" s="33" t="s">
        <v>431</v>
      </c>
      <c r="F4" s="35">
        <v>0</v>
      </c>
    </row>
    <row r="5" spans="1:6" x14ac:dyDescent="0.25">
      <c r="A5" s="13" t="s">
        <v>139</v>
      </c>
      <c r="B5" s="8" t="s">
        <v>94</v>
      </c>
      <c r="C5" s="16" t="s">
        <v>153</v>
      </c>
      <c r="E5" s="33" t="s">
        <v>432</v>
      </c>
      <c r="F5" s="35">
        <v>1</v>
      </c>
    </row>
    <row r="6" spans="1:6" x14ac:dyDescent="0.25">
      <c r="A6" s="13" t="s">
        <v>140</v>
      </c>
      <c r="B6" s="8" t="s">
        <v>94</v>
      </c>
      <c r="C6" s="16" t="s">
        <v>154</v>
      </c>
      <c r="E6" s="33" t="s">
        <v>433</v>
      </c>
      <c r="F6" s="35">
        <v>1</v>
      </c>
    </row>
    <row r="7" spans="1:6" x14ac:dyDescent="0.25">
      <c r="A7" s="13" t="s">
        <v>141</v>
      </c>
      <c r="B7" s="8" t="s">
        <v>103</v>
      </c>
      <c r="C7" s="16" t="s">
        <v>154</v>
      </c>
      <c r="E7" s="33" t="s">
        <v>434</v>
      </c>
      <c r="F7" s="35">
        <v>0</v>
      </c>
    </row>
    <row r="8" spans="1:6" x14ac:dyDescent="0.25">
      <c r="A8" s="13" t="s">
        <v>142</v>
      </c>
      <c r="B8" s="8" t="s">
        <v>94</v>
      </c>
      <c r="C8" s="16" t="s">
        <v>155</v>
      </c>
      <c r="E8" s="33" t="s">
        <v>435</v>
      </c>
      <c r="F8" s="35">
        <v>1</v>
      </c>
    </row>
    <row r="9" spans="1:6" x14ac:dyDescent="0.25">
      <c r="A9" s="13" t="s">
        <v>143</v>
      </c>
      <c r="B9" s="8" t="s">
        <v>94</v>
      </c>
      <c r="C9" s="16" t="s">
        <v>1485</v>
      </c>
      <c r="E9" s="33" t="s">
        <v>436</v>
      </c>
      <c r="F9" s="35">
        <v>1</v>
      </c>
    </row>
    <row r="10" spans="1:6" x14ac:dyDescent="0.25">
      <c r="A10" s="13" t="s">
        <v>144</v>
      </c>
      <c r="B10" s="8">
        <v>64</v>
      </c>
      <c r="C10" s="16" t="s">
        <v>156</v>
      </c>
      <c r="E10" s="33" t="s">
        <v>437</v>
      </c>
      <c r="F10" s="35">
        <v>64</v>
      </c>
    </row>
    <row r="11" spans="1:6" x14ac:dyDescent="0.25">
      <c r="A11" s="13" t="s">
        <v>145</v>
      </c>
      <c r="B11" s="8" t="s">
        <v>157</v>
      </c>
      <c r="C11" s="16" t="s">
        <v>158</v>
      </c>
      <c r="E11" s="33" t="s">
        <v>438</v>
      </c>
      <c r="F11" s="35">
        <v>0</v>
      </c>
    </row>
    <row r="12" spans="1:6" x14ac:dyDescent="0.25">
      <c r="A12" s="13" t="s">
        <v>146</v>
      </c>
      <c r="B12" s="8" t="s">
        <v>159</v>
      </c>
      <c r="C12" s="16" t="s">
        <v>160</v>
      </c>
      <c r="E12" s="33" t="s">
        <v>439</v>
      </c>
      <c r="F12" s="35" t="s">
        <v>159</v>
      </c>
    </row>
    <row r="13" spans="1:6" ht="30" x14ac:dyDescent="0.25">
      <c r="A13" s="13" t="s">
        <v>440</v>
      </c>
      <c r="B13" s="8" t="s">
        <v>103</v>
      </c>
      <c r="C13" s="16" t="s">
        <v>441</v>
      </c>
      <c r="E13" s="33" t="s">
        <v>442</v>
      </c>
      <c r="F13" s="35">
        <v>0</v>
      </c>
    </row>
    <row r="14" spans="1:6" ht="30" x14ac:dyDescent="0.25">
      <c r="A14" s="13" t="s">
        <v>147</v>
      </c>
      <c r="B14" s="8">
        <v>0</v>
      </c>
      <c r="C14" s="16" t="s">
        <v>162</v>
      </c>
      <c r="E14" s="33" t="s">
        <v>443</v>
      </c>
      <c r="F14" s="35">
        <v>0</v>
      </c>
    </row>
    <row r="15" spans="1:6" ht="30" x14ac:dyDescent="0.25">
      <c r="A15" s="13" t="s">
        <v>165</v>
      </c>
      <c r="B15" s="8">
        <v>0</v>
      </c>
      <c r="C15" s="16" t="s">
        <v>163</v>
      </c>
      <c r="E15" s="33" t="s">
        <v>444</v>
      </c>
      <c r="F15" s="35">
        <v>0</v>
      </c>
    </row>
    <row r="16" spans="1:6" x14ac:dyDescent="0.25">
      <c r="A16" s="13" t="s">
        <v>166</v>
      </c>
      <c r="B16" s="20" t="s">
        <v>1487</v>
      </c>
      <c r="C16" s="21"/>
      <c r="E16" s="33" t="s">
        <v>445</v>
      </c>
      <c r="F16" s="35" t="s">
        <v>164</v>
      </c>
    </row>
    <row r="17" spans="1:6" x14ac:dyDescent="0.25">
      <c r="A17" s="13" t="s">
        <v>167</v>
      </c>
      <c r="B17" s="8" t="s">
        <v>103</v>
      </c>
      <c r="C17" s="16" t="s">
        <v>168</v>
      </c>
      <c r="E17" s="33" t="s">
        <v>446</v>
      </c>
      <c r="F17" s="35">
        <v>0</v>
      </c>
    </row>
    <row r="18" spans="1:6" x14ac:dyDescent="0.25">
      <c r="A18" s="13" t="s">
        <v>148</v>
      </c>
      <c r="B18" s="20" t="s">
        <v>1488</v>
      </c>
      <c r="C18" s="16" t="s">
        <v>169</v>
      </c>
      <c r="E18" s="33" t="s">
        <v>447</v>
      </c>
      <c r="F18" s="35" t="s">
        <v>1486</v>
      </c>
    </row>
    <row r="19" spans="1:6" x14ac:dyDescent="0.25">
      <c r="A19" s="13" t="s">
        <v>149</v>
      </c>
      <c r="B19" s="20" t="s">
        <v>103</v>
      </c>
      <c r="C19" s="16" t="s">
        <v>168</v>
      </c>
      <c r="E19" s="33" t="s">
        <v>448</v>
      </c>
      <c r="F19" s="35">
        <v>0</v>
      </c>
    </row>
    <row r="20" spans="1:6" ht="15.75" thickBot="1" x14ac:dyDescent="0.3">
      <c r="A20" s="14" t="s">
        <v>150</v>
      </c>
      <c r="B20" s="22" t="s">
        <v>103</v>
      </c>
      <c r="C20" s="18" t="s">
        <v>1400</v>
      </c>
      <c r="E20" s="34" t="s">
        <v>449</v>
      </c>
      <c r="F20" s="36">
        <v>0</v>
      </c>
    </row>
    <row r="21" spans="1:6" x14ac:dyDescent="0.25">
      <c r="B21" s="3"/>
    </row>
    <row r="22" spans="1:6" x14ac:dyDescent="0.25">
      <c r="B22" s="3"/>
    </row>
    <row r="23" spans="1:6" x14ac:dyDescent="0.25">
      <c r="B23" s="3"/>
    </row>
    <row r="24" spans="1:6" x14ac:dyDescent="0.25">
      <c r="B24" s="3"/>
    </row>
    <row r="25" spans="1:6" x14ac:dyDescent="0.25">
      <c r="B25" s="3"/>
    </row>
    <row r="26" spans="1:6" x14ac:dyDescent="0.25">
      <c r="B26" s="3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8"/>
  <sheetViews>
    <sheetView workbookViewId="0"/>
  </sheetViews>
  <sheetFormatPr defaultRowHeight="15" x14ac:dyDescent="0.25"/>
  <cols>
    <col min="1" max="1" width="40.85546875" customWidth="1"/>
    <col min="2" max="2" width="14" customWidth="1"/>
    <col min="3" max="3" width="31.42578125" customWidth="1"/>
    <col min="5" max="5" width="26.7109375" customWidth="1"/>
  </cols>
  <sheetData>
    <row r="1" spans="1:6" ht="31.5" x14ac:dyDescent="0.25">
      <c r="A1" s="9" t="s">
        <v>11</v>
      </c>
      <c r="B1" s="15" t="s">
        <v>85</v>
      </c>
      <c r="C1" s="10" t="s">
        <v>265</v>
      </c>
      <c r="E1" s="37" t="s">
        <v>349</v>
      </c>
      <c r="F1" s="39" t="s">
        <v>390</v>
      </c>
    </row>
    <row r="2" spans="1:6" x14ac:dyDescent="0.25">
      <c r="A2" s="13" t="s">
        <v>114</v>
      </c>
      <c r="B2" s="8">
        <v>32</v>
      </c>
      <c r="C2" s="16" t="s">
        <v>170</v>
      </c>
      <c r="E2" s="33" t="s">
        <v>408</v>
      </c>
      <c r="F2" s="35">
        <v>32</v>
      </c>
    </row>
    <row r="3" spans="1:6" ht="30" x14ac:dyDescent="0.25">
      <c r="A3" s="13" t="s">
        <v>171</v>
      </c>
      <c r="B3" s="8" t="s">
        <v>172</v>
      </c>
      <c r="C3" s="16" t="s">
        <v>173</v>
      </c>
      <c r="E3" s="33" t="s">
        <v>450</v>
      </c>
      <c r="F3" s="35">
        <v>1</v>
      </c>
    </row>
    <row r="4" spans="1:6" x14ac:dyDescent="0.25">
      <c r="A4" s="13" t="s">
        <v>174</v>
      </c>
      <c r="B4" s="8">
        <v>32</v>
      </c>
      <c r="C4" s="16" t="s">
        <v>807</v>
      </c>
      <c r="E4" s="33" t="s">
        <v>451</v>
      </c>
      <c r="F4" s="35">
        <v>32</v>
      </c>
    </row>
    <row r="5" spans="1:6" x14ac:dyDescent="0.25">
      <c r="A5" s="13" t="s">
        <v>175</v>
      </c>
      <c r="B5" s="8">
        <v>32</v>
      </c>
      <c r="C5" s="16" t="s">
        <v>807</v>
      </c>
      <c r="E5" s="33" t="s">
        <v>452</v>
      </c>
      <c r="F5" s="35">
        <v>32</v>
      </c>
    </row>
    <row r="6" spans="1:6" ht="30" x14ac:dyDescent="0.25">
      <c r="A6" s="13" t="s">
        <v>176</v>
      </c>
      <c r="B6" s="8">
        <v>2</v>
      </c>
      <c r="C6" s="16" t="s">
        <v>190</v>
      </c>
      <c r="E6" s="33" t="s">
        <v>453</v>
      </c>
      <c r="F6" s="35">
        <v>2</v>
      </c>
    </row>
    <row r="7" spans="1:6" x14ac:dyDescent="0.25">
      <c r="A7" s="13" t="s">
        <v>177</v>
      </c>
      <c r="B7" s="23" t="s">
        <v>94</v>
      </c>
      <c r="C7" s="16" t="s">
        <v>191</v>
      </c>
      <c r="E7" s="33" t="s">
        <v>456</v>
      </c>
      <c r="F7" s="35">
        <v>1</v>
      </c>
    </row>
    <row r="8" spans="1:6" x14ac:dyDescent="0.25">
      <c r="A8" s="13" t="s">
        <v>196</v>
      </c>
      <c r="B8" s="20">
        <v>16</v>
      </c>
      <c r="C8" s="16" t="s">
        <v>191</v>
      </c>
      <c r="E8" s="33" t="s">
        <v>457</v>
      </c>
      <c r="F8" s="35">
        <v>16</v>
      </c>
    </row>
    <row r="9" spans="1:6" x14ac:dyDescent="0.25">
      <c r="A9" s="13" t="s">
        <v>178</v>
      </c>
      <c r="B9" s="8"/>
      <c r="C9" s="16"/>
      <c r="E9" s="33" t="s">
        <v>454</v>
      </c>
      <c r="F9" s="35" t="s">
        <v>455</v>
      </c>
    </row>
    <row r="10" spans="1:6" ht="30" x14ac:dyDescent="0.25">
      <c r="A10" s="13" t="s">
        <v>179</v>
      </c>
      <c r="B10" s="8" t="s">
        <v>1393</v>
      </c>
      <c r="C10" s="16" t="s">
        <v>192</v>
      </c>
      <c r="E10" s="33" t="s">
        <v>458</v>
      </c>
      <c r="F10" s="35" t="s">
        <v>1394</v>
      </c>
    </row>
    <row r="11" spans="1:6" ht="30" x14ac:dyDescent="0.25">
      <c r="A11" s="13" t="s">
        <v>180</v>
      </c>
      <c r="B11" s="8" t="s">
        <v>188</v>
      </c>
      <c r="C11" s="16" t="s">
        <v>193</v>
      </c>
      <c r="E11" s="33" t="s">
        <v>459</v>
      </c>
      <c r="F11" s="35">
        <v>1</v>
      </c>
    </row>
    <row r="12" spans="1:6" ht="30" x14ac:dyDescent="0.25">
      <c r="A12" s="13" t="s">
        <v>181</v>
      </c>
      <c r="B12" s="8" t="s">
        <v>189</v>
      </c>
      <c r="C12" s="16" t="s">
        <v>194</v>
      </c>
      <c r="E12" s="33" t="s">
        <v>460</v>
      </c>
      <c r="F12" s="35">
        <v>0</v>
      </c>
    </row>
    <row r="13" spans="1:6" x14ac:dyDescent="0.25">
      <c r="A13" s="13" t="s">
        <v>182</v>
      </c>
      <c r="B13" s="8" t="s">
        <v>5</v>
      </c>
      <c r="C13" s="16" t="s">
        <v>195</v>
      </c>
      <c r="E13" s="33" t="s">
        <v>461</v>
      </c>
      <c r="F13" s="35">
        <v>0</v>
      </c>
    </row>
    <row r="14" spans="1:6" ht="30" x14ac:dyDescent="0.25">
      <c r="A14" s="13" t="s">
        <v>183</v>
      </c>
      <c r="B14" s="8" t="s">
        <v>5</v>
      </c>
      <c r="C14" s="16" t="s">
        <v>197</v>
      </c>
      <c r="E14" s="33" t="s">
        <v>462</v>
      </c>
      <c r="F14" s="35">
        <v>0</v>
      </c>
    </row>
    <row r="15" spans="1:6" x14ac:dyDescent="0.25">
      <c r="A15" s="13" t="s">
        <v>184</v>
      </c>
      <c r="B15" s="8" t="s">
        <v>5</v>
      </c>
      <c r="C15" s="16" t="s">
        <v>191</v>
      </c>
      <c r="E15" s="33" t="s">
        <v>463</v>
      </c>
      <c r="F15" s="35">
        <v>0</v>
      </c>
    </row>
    <row r="16" spans="1:6" x14ac:dyDescent="0.25">
      <c r="A16" s="13" t="s">
        <v>185</v>
      </c>
      <c r="B16" s="20" t="s">
        <v>198</v>
      </c>
      <c r="C16" s="21" t="s">
        <v>199</v>
      </c>
      <c r="E16" s="33" t="s">
        <v>464</v>
      </c>
      <c r="F16" s="35">
        <v>0</v>
      </c>
    </row>
    <row r="17" spans="1:6" x14ac:dyDescent="0.25">
      <c r="A17" s="13" t="s">
        <v>186</v>
      </c>
      <c r="B17" s="8">
        <v>0</v>
      </c>
      <c r="C17" s="16" t="s">
        <v>200</v>
      </c>
      <c r="E17" s="33" t="s">
        <v>465</v>
      </c>
      <c r="F17" s="35">
        <v>0</v>
      </c>
    </row>
    <row r="18" spans="1:6" ht="15.75" thickBot="1" x14ac:dyDescent="0.3">
      <c r="A18" s="14" t="s">
        <v>187</v>
      </c>
      <c r="B18" s="22">
        <v>0</v>
      </c>
      <c r="C18" s="18" t="s">
        <v>200</v>
      </c>
      <c r="E18" s="34" t="s">
        <v>466</v>
      </c>
      <c r="F18" s="36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35"/>
  <sheetViews>
    <sheetView workbookViewId="0"/>
  </sheetViews>
  <sheetFormatPr defaultRowHeight="15" x14ac:dyDescent="0.25"/>
  <cols>
    <col min="1" max="1" width="40.28515625" customWidth="1"/>
    <col min="2" max="2" width="17" customWidth="1"/>
    <col min="3" max="3" width="38" customWidth="1"/>
    <col min="5" max="5" width="31.85546875" customWidth="1"/>
  </cols>
  <sheetData>
    <row r="1" spans="1:6" ht="31.5" x14ac:dyDescent="0.25">
      <c r="A1" s="9" t="s">
        <v>11</v>
      </c>
      <c r="B1" s="15" t="s">
        <v>85</v>
      </c>
      <c r="C1" s="10" t="s">
        <v>265</v>
      </c>
      <c r="E1" s="37" t="s">
        <v>349</v>
      </c>
      <c r="F1" s="39" t="s">
        <v>390</v>
      </c>
    </row>
    <row r="2" spans="1:6" x14ac:dyDescent="0.25">
      <c r="A2" s="13" t="s">
        <v>114</v>
      </c>
      <c r="B2" s="8">
        <v>32</v>
      </c>
      <c r="C2" s="16" t="s">
        <v>170</v>
      </c>
      <c r="E2" s="33" t="s">
        <v>408</v>
      </c>
      <c r="F2" s="35">
        <v>32</v>
      </c>
    </row>
    <row r="3" spans="1:6" ht="30" x14ac:dyDescent="0.25">
      <c r="A3" s="13" t="s">
        <v>201</v>
      </c>
      <c r="B3" s="8" t="s">
        <v>1389</v>
      </c>
      <c r="C3" s="16" t="s">
        <v>1390</v>
      </c>
      <c r="E3" s="33" t="s">
        <v>467</v>
      </c>
      <c r="F3" s="82" t="s">
        <v>1395</v>
      </c>
    </row>
    <row r="4" spans="1:6" x14ac:dyDescent="0.25">
      <c r="A4" s="13" t="s">
        <v>202</v>
      </c>
      <c r="B4" s="8" t="s">
        <v>203</v>
      </c>
      <c r="C4" s="16" t="s">
        <v>200</v>
      </c>
      <c r="E4" s="33" t="s">
        <v>468</v>
      </c>
      <c r="F4" s="35" t="s">
        <v>203</v>
      </c>
    </row>
    <row r="5" spans="1:6" x14ac:dyDescent="0.25">
      <c r="A5" s="13" t="s">
        <v>469</v>
      </c>
      <c r="B5" s="8" t="s">
        <v>203</v>
      </c>
      <c r="C5" s="16" t="s">
        <v>200</v>
      </c>
      <c r="E5" s="33" t="s">
        <v>470</v>
      </c>
      <c r="F5" s="35" t="s">
        <v>203</v>
      </c>
    </row>
    <row r="6" spans="1:6" x14ac:dyDescent="0.25">
      <c r="A6" s="13" t="s">
        <v>504</v>
      </c>
      <c r="B6" s="8">
        <v>1</v>
      </c>
      <c r="C6" s="16" t="s">
        <v>200</v>
      </c>
      <c r="E6" s="33" t="s">
        <v>471</v>
      </c>
      <c r="F6" s="35" t="s">
        <v>214</v>
      </c>
    </row>
    <row r="7" spans="1:6" x14ac:dyDescent="0.25">
      <c r="A7" s="13" t="s">
        <v>204</v>
      </c>
      <c r="B7" s="20" t="s">
        <v>94</v>
      </c>
      <c r="C7" s="16" t="s">
        <v>200</v>
      </c>
      <c r="E7" s="33" t="s">
        <v>472</v>
      </c>
      <c r="F7" s="35">
        <v>1</v>
      </c>
    </row>
    <row r="8" spans="1:6" x14ac:dyDescent="0.25">
      <c r="A8" s="13" t="s">
        <v>205</v>
      </c>
      <c r="B8" s="20" t="s">
        <v>94</v>
      </c>
      <c r="C8" s="16" t="s">
        <v>200</v>
      </c>
      <c r="E8" s="33" t="s">
        <v>473</v>
      </c>
      <c r="F8" s="35">
        <v>1</v>
      </c>
    </row>
    <row r="9" spans="1:6" ht="30" x14ac:dyDescent="0.25">
      <c r="A9" s="13" t="s">
        <v>505</v>
      </c>
      <c r="B9" s="8" t="s">
        <v>94</v>
      </c>
      <c r="C9" s="16" t="s">
        <v>200</v>
      </c>
      <c r="E9" s="33" t="s">
        <v>474</v>
      </c>
      <c r="F9" s="35">
        <v>1</v>
      </c>
    </row>
    <row r="10" spans="1:6" x14ac:dyDescent="0.25">
      <c r="A10" s="13" t="s">
        <v>506</v>
      </c>
      <c r="B10" s="8" t="s">
        <v>94</v>
      </c>
      <c r="C10" s="16" t="s">
        <v>200</v>
      </c>
      <c r="E10" s="33" t="s">
        <v>475</v>
      </c>
      <c r="F10" s="35">
        <v>1</v>
      </c>
    </row>
    <row r="11" spans="1:6" x14ac:dyDescent="0.25">
      <c r="A11" s="13" t="s">
        <v>206</v>
      </c>
      <c r="B11" s="8">
        <v>32</v>
      </c>
      <c r="C11" s="16" t="s">
        <v>207</v>
      </c>
      <c r="E11" s="33" t="s">
        <v>476</v>
      </c>
      <c r="F11" s="35">
        <v>32</v>
      </c>
    </row>
    <row r="12" spans="1:6" x14ac:dyDescent="0.25">
      <c r="A12" s="13" t="s">
        <v>208</v>
      </c>
      <c r="B12" s="8">
        <v>32</v>
      </c>
      <c r="C12" s="16" t="s">
        <v>209</v>
      </c>
      <c r="E12" s="33" t="s">
        <v>477</v>
      </c>
      <c r="F12" s="35">
        <v>32</v>
      </c>
    </row>
    <row r="13" spans="1:6" x14ac:dyDescent="0.25">
      <c r="A13" s="13" t="s">
        <v>210</v>
      </c>
      <c r="B13" s="8">
        <v>8</v>
      </c>
      <c r="C13" s="16" t="s">
        <v>212</v>
      </c>
      <c r="E13" s="33" t="s">
        <v>478</v>
      </c>
      <c r="F13" s="35">
        <v>8</v>
      </c>
    </row>
    <row r="14" spans="1:6" x14ac:dyDescent="0.25">
      <c r="A14" s="13" t="s">
        <v>211</v>
      </c>
      <c r="B14" s="8">
        <v>8</v>
      </c>
      <c r="C14" s="16" t="s">
        <v>212</v>
      </c>
      <c r="E14" s="33" t="s">
        <v>479</v>
      </c>
      <c r="F14" s="35">
        <v>8</v>
      </c>
    </row>
    <row r="15" spans="1:6" ht="30" x14ac:dyDescent="0.25">
      <c r="A15" s="13" t="s">
        <v>507</v>
      </c>
      <c r="B15" s="8" t="s">
        <v>94</v>
      </c>
      <c r="C15" s="16" t="s">
        <v>191</v>
      </c>
      <c r="E15" s="33" t="s">
        <v>480</v>
      </c>
      <c r="F15" s="35">
        <v>1</v>
      </c>
    </row>
    <row r="16" spans="1:6" ht="30" x14ac:dyDescent="0.25">
      <c r="A16" s="13" t="s">
        <v>508</v>
      </c>
      <c r="B16" s="20" t="s">
        <v>213</v>
      </c>
      <c r="C16" s="16" t="s">
        <v>200</v>
      </c>
      <c r="E16" s="33" t="s">
        <v>481</v>
      </c>
      <c r="F16" s="35" t="s">
        <v>213</v>
      </c>
    </row>
    <row r="17" spans="1:6" ht="30" x14ac:dyDescent="0.25">
      <c r="A17" s="13" t="s">
        <v>509</v>
      </c>
      <c r="B17" s="8" t="s">
        <v>214</v>
      </c>
      <c r="C17" s="16" t="s">
        <v>200</v>
      </c>
      <c r="E17" s="33" t="s">
        <v>482</v>
      </c>
      <c r="F17" s="35" t="s">
        <v>214</v>
      </c>
    </row>
    <row r="18" spans="1:6" ht="30" x14ac:dyDescent="0.25">
      <c r="A18" s="13" t="s">
        <v>510</v>
      </c>
      <c r="B18" s="20" t="s">
        <v>94</v>
      </c>
      <c r="C18" s="16" t="s">
        <v>200</v>
      </c>
      <c r="E18" s="33" t="s">
        <v>483</v>
      </c>
      <c r="F18" s="35">
        <v>1</v>
      </c>
    </row>
    <row r="19" spans="1:6" ht="30" x14ac:dyDescent="0.25">
      <c r="A19" s="13" t="s">
        <v>179</v>
      </c>
      <c r="B19" s="8" t="s">
        <v>1391</v>
      </c>
      <c r="C19" s="16" t="s">
        <v>1392</v>
      </c>
      <c r="E19" s="33" t="s">
        <v>484</v>
      </c>
      <c r="F19" s="35">
        <v>1</v>
      </c>
    </row>
    <row r="20" spans="1:6" x14ac:dyDescent="0.25">
      <c r="A20" s="13" t="s">
        <v>215</v>
      </c>
      <c r="B20" s="8" t="s">
        <v>94</v>
      </c>
      <c r="C20" s="16" t="s">
        <v>218</v>
      </c>
      <c r="E20" s="33" t="s">
        <v>485</v>
      </c>
      <c r="F20" s="35">
        <v>1</v>
      </c>
    </row>
    <row r="21" spans="1:6" x14ac:dyDescent="0.25">
      <c r="A21" s="13" t="s">
        <v>216</v>
      </c>
      <c r="B21" s="8" t="s">
        <v>103</v>
      </c>
      <c r="C21" s="16" t="s">
        <v>217</v>
      </c>
      <c r="E21" s="33" t="s">
        <v>486</v>
      </c>
      <c r="F21" s="35">
        <v>0</v>
      </c>
    </row>
    <row r="22" spans="1:6" x14ac:dyDescent="0.25">
      <c r="A22" s="13" t="s">
        <v>219</v>
      </c>
      <c r="B22" s="8" t="s">
        <v>94</v>
      </c>
      <c r="C22" s="16" t="s">
        <v>1489</v>
      </c>
      <c r="E22" s="33" t="s">
        <v>487</v>
      </c>
      <c r="F22" s="35">
        <v>1</v>
      </c>
    </row>
    <row r="23" spans="1:6" ht="30" x14ac:dyDescent="0.25">
      <c r="A23" s="13" t="s">
        <v>511</v>
      </c>
      <c r="B23" s="8" t="s">
        <v>94</v>
      </c>
      <c r="C23" s="16" t="s">
        <v>221</v>
      </c>
      <c r="E23" s="33" t="s">
        <v>488</v>
      </c>
      <c r="F23" s="35">
        <v>1</v>
      </c>
    </row>
    <row r="24" spans="1:6" x14ac:dyDescent="0.25">
      <c r="A24" s="13" t="s">
        <v>512</v>
      </c>
      <c r="B24" s="8" t="s">
        <v>103</v>
      </c>
      <c r="C24" s="16" t="s">
        <v>220</v>
      </c>
      <c r="E24" s="33" t="s">
        <v>489</v>
      </c>
      <c r="F24" s="35">
        <v>0</v>
      </c>
    </row>
    <row r="25" spans="1:6" x14ac:dyDescent="0.25">
      <c r="A25" s="13" t="s">
        <v>490</v>
      </c>
      <c r="B25" s="8" t="s">
        <v>55</v>
      </c>
      <c r="C25" s="16" t="s">
        <v>222</v>
      </c>
      <c r="E25" s="33" t="s">
        <v>491</v>
      </c>
      <c r="F25" s="35">
        <v>1</v>
      </c>
    </row>
    <row r="26" spans="1:6" x14ac:dyDescent="0.25">
      <c r="A26" s="13" t="s">
        <v>223</v>
      </c>
      <c r="B26" s="8" t="s">
        <v>224</v>
      </c>
      <c r="C26" s="16" t="s">
        <v>200</v>
      </c>
      <c r="E26" s="33" t="s">
        <v>492</v>
      </c>
      <c r="F26" s="40" t="s">
        <v>224</v>
      </c>
    </row>
    <row r="27" spans="1:6" x14ac:dyDescent="0.25">
      <c r="A27" s="13" t="s">
        <v>225</v>
      </c>
      <c r="B27" s="8" t="s">
        <v>226</v>
      </c>
      <c r="C27" s="16" t="s">
        <v>200</v>
      </c>
      <c r="E27" s="33" t="s">
        <v>493</v>
      </c>
      <c r="F27" s="40" t="s">
        <v>226</v>
      </c>
    </row>
    <row r="28" spans="1:6" x14ac:dyDescent="0.25">
      <c r="A28" s="13" t="s">
        <v>227</v>
      </c>
      <c r="B28" s="8" t="s">
        <v>228</v>
      </c>
      <c r="C28" s="16" t="s">
        <v>200</v>
      </c>
      <c r="E28" s="33" t="s">
        <v>494</v>
      </c>
      <c r="F28" s="40" t="s">
        <v>228</v>
      </c>
    </row>
    <row r="29" spans="1:6" x14ac:dyDescent="0.25">
      <c r="A29" s="13" t="s">
        <v>229</v>
      </c>
      <c r="B29" s="8" t="s">
        <v>230</v>
      </c>
      <c r="C29" s="16" t="s">
        <v>200</v>
      </c>
      <c r="E29" s="33" t="s">
        <v>495</v>
      </c>
      <c r="F29" s="40" t="s">
        <v>230</v>
      </c>
    </row>
    <row r="30" spans="1:6" ht="30" x14ac:dyDescent="0.25">
      <c r="A30" s="13" t="s">
        <v>513</v>
      </c>
      <c r="B30" s="8">
        <v>100</v>
      </c>
      <c r="C30" s="16" t="s">
        <v>200</v>
      </c>
      <c r="E30" s="33" t="s">
        <v>496</v>
      </c>
      <c r="F30" s="40">
        <v>100</v>
      </c>
    </row>
    <row r="31" spans="1:6" x14ac:dyDescent="0.25">
      <c r="A31" s="13" t="s">
        <v>231</v>
      </c>
      <c r="B31" s="8" t="s">
        <v>232</v>
      </c>
      <c r="C31" s="16" t="s">
        <v>200</v>
      </c>
      <c r="E31" s="33" t="s">
        <v>497</v>
      </c>
      <c r="F31" s="40" t="s">
        <v>232</v>
      </c>
    </row>
    <row r="32" spans="1:6" x14ac:dyDescent="0.25">
      <c r="A32" s="13" t="s">
        <v>233</v>
      </c>
      <c r="B32" s="8" t="s">
        <v>234</v>
      </c>
      <c r="C32" s="16" t="s">
        <v>200</v>
      </c>
      <c r="E32" s="33" t="s">
        <v>498</v>
      </c>
      <c r="F32" s="40" t="s">
        <v>234</v>
      </c>
    </row>
    <row r="33" spans="1:6" ht="30" x14ac:dyDescent="0.25">
      <c r="A33" s="13" t="s">
        <v>514</v>
      </c>
      <c r="B33" s="8" t="s">
        <v>103</v>
      </c>
      <c r="C33" s="16" t="s">
        <v>200</v>
      </c>
      <c r="E33" s="33" t="s">
        <v>499</v>
      </c>
      <c r="F33" s="35">
        <v>0</v>
      </c>
    </row>
    <row r="34" spans="1:6" ht="30" x14ac:dyDescent="0.25">
      <c r="A34" s="13" t="s">
        <v>500</v>
      </c>
      <c r="B34" s="8" t="s">
        <v>103</v>
      </c>
      <c r="C34" s="16" t="s">
        <v>200</v>
      </c>
      <c r="E34" s="33" t="s">
        <v>501</v>
      </c>
      <c r="F34" s="35">
        <v>0</v>
      </c>
    </row>
    <row r="35" spans="1:6" ht="15.75" thickBot="1" x14ac:dyDescent="0.3">
      <c r="A35" s="14" t="s">
        <v>502</v>
      </c>
      <c r="B35" s="17" t="s">
        <v>103</v>
      </c>
      <c r="C35" s="18" t="s">
        <v>200</v>
      </c>
      <c r="E35" s="34" t="s">
        <v>503</v>
      </c>
      <c r="F35" s="3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1"/>
  <sheetViews>
    <sheetView zoomScale="90" zoomScaleNormal="90" workbookViewId="0"/>
  </sheetViews>
  <sheetFormatPr defaultRowHeight="15" x14ac:dyDescent="0.25"/>
  <cols>
    <col min="1" max="1" width="29.42578125" customWidth="1"/>
    <col min="2" max="5" width="12.7109375" customWidth="1"/>
    <col min="6" max="6" width="34.85546875" customWidth="1"/>
    <col min="8" max="8" width="24.28515625" customWidth="1"/>
  </cols>
  <sheetData>
    <row r="1" spans="1:12" ht="47.25" x14ac:dyDescent="0.25">
      <c r="A1" s="9" t="s">
        <v>11</v>
      </c>
      <c r="B1" s="15" t="s">
        <v>1383</v>
      </c>
      <c r="C1" s="15" t="s">
        <v>1384</v>
      </c>
      <c r="D1" s="15" t="s">
        <v>1385</v>
      </c>
      <c r="E1" s="15" t="s">
        <v>1386</v>
      </c>
      <c r="F1" s="10" t="s">
        <v>265</v>
      </c>
      <c r="H1" s="37" t="s">
        <v>349</v>
      </c>
      <c r="I1" s="38" t="s">
        <v>391</v>
      </c>
      <c r="J1" s="38" t="s">
        <v>392</v>
      </c>
      <c r="K1" s="38" t="s">
        <v>393</v>
      </c>
      <c r="L1" s="39" t="s">
        <v>394</v>
      </c>
    </row>
    <row r="2" spans="1:12" x14ac:dyDescent="0.25">
      <c r="A2" s="13" t="s">
        <v>114</v>
      </c>
      <c r="B2" s="8">
        <v>32</v>
      </c>
      <c r="C2" s="8">
        <v>32</v>
      </c>
      <c r="D2" s="8">
        <v>32</v>
      </c>
      <c r="E2" s="8">
        <v>32</v>
      </c>
      <c r="F2" s="16" t="s">
        <v>170</v>
      </c>
      <c r="H2" s="33" t="s">
        <v>408</v>
      </c>
      <c r="I2" s="8">
        <v>32</v>
      </c>
      <c r="J2" s="8">
        <v>32</v>
      </c>
      <c r="K2" s="8">
        <v>32</v>
      </c>
      <c r="L2" s="8">
        <v>32</v>
      </c>
    </row>
    <row r="3" spans="1:12" x14ac:dyDescent="0.25">
      <c r="A3" s="13" t="s">
        <v>235</v>
      </c>
      <c r="B3" s="8" t="s">
        <v>103</v>
      </c>
      <c r="C3" s="8" t="s">
        <v>103</v>
      </c>
      <c r="D3" s="8" t="s">
        <v>94</v>
      </c>
      <c r="E3" s="8" t="s">
        <v>94</v>
      </c>
      <c r="F3" s="16" t="s">
        <v>256</v>
      </c>
      <c r="H3" s="33" t="s">
        <v>515</v>
      </c>
      <c r="I3" s="8">
        <v>0</v>
      </c>
      <c r="J3" s="8">
        <v>0</v>
      </c>
      <c r="K3" s="8">
        <v>1</v>
      </c>
      <c r="L3" s="8">
        <v>1</v>
      </c>
    </row>
    <row r="4" spans="1:12" x14ac:dyDescent="0.25">
      <c r="A4" s="13" t="s">
        <v>236</v>
      </c>
      <c r="B4" s="8" t="s">
        <v>254</v>
      </c>
      <c r="C4" s="8" t="s">
        <v>254</v>
      </c>
      <c r="D4" s="8">
        <v>1</v>
      </c>
      <c r="E4" s="8">
        <v>1</v>
      </c>
      <c r="F4" s="16" t="s">
        <v>1387</v>
      </c>
      <c r="H4" s="33" t="s">
        <v>516</v>
      </c>
      <c r="I4" s="8"/>
      <c r="J4" s="8"/>
      <c r="K4" s="8">
        <v>4</v>
      </c>
      <c r="L4" s="8">
        <v>1</v>
      </c>
    </row>
    <row r="5" spans="1:12" x14ac:dyDescent="0.25">
      <c r="A5" s="13" t="s">
        <v>237</v>
      </c>
      <c r="B5" s="8" t="s">
        <v>94</v>
      </c>
      <c r="C5" s="8" t="s">
        <v>94</v>
      </c>
      <c r="D5" s="8" t="s">
        <v>103</v>
      </c>
      <c r="E5" s="8" t="s">
        <v>103</v>
      </c>
      <c r="F5" s="16" t="s">
        <v>255</v>
      </c>
      <c r="H5" s="33" t="s">
        <v>517</v>
      </c>
      <c r="I5" s="8">
        <v>1</v>
      </c>
      <c r="J5" s="8">
        <v>1</v>
      </c>
      <c r="K5" s="8">
        <v>0</v>
      </c>
      <c r="L5" s="8">
        <v>0</v>
      </c>
    </row>
    <row r="6" spans="1:12" x14ac:dyDescent="0.25">
      <c r="A6" s="13" t="s">
        <v>238</v>
      </c>
      <c r="B6" s="8">
        <v>1</v>
      </c>
      <c r="C6" s="8">
        <v>1</v>
      </c>
      <c r="D6" s="8" t="s">
        <v>254</v>
      </c>
      <c r="E6" s="8" t="s">
        <v>254</v>
      </c>
      <c r="F6" s="16" t="s">
        <v>1387</v>
      </c>
      <c r="H6" s="33" t="s">
        <v>518</v>
      </c>
      <c r="I6" s="8">
        <v>4</v>
      </c>
      <c r="J6" s="8">
        <v>1</v>
      </c>
      <c r="K6" s="8"/>
      <c r="L6" s="8"/>
    </row>
    <row r="7" spans="1:12" x14ac:dyDescent="0.25">
      <c r="A7" s="13" t="s">
        <v>239</v>
      </c>
      <c r="B7" s="8" t="s">
        <v>94</v>
      </c>
      <c r="C7" s="8" t="s">
        <v>94</v>
      </c>
      <c r="D7" s="8" t="s">
        <v>94</v>
      </c>
      <c r="E7" s="8" t="s">
        <v>94</v>
      </c>
      <c r="F7" s="16" t="s">
        <v>257</v>
      </c>
      <c r="H7" s="33" t="s">
        <v>519</v>
      </c>
      <c r="I7" s="8">
        <v>1</v>
      </c>
      <c r="J7" s="8">
        <v>1</v>
      </c>
      <c r="K7" s="8">
        <v>1</v>
      </c>
      <c r="L7" s="8">
        <v>1</v>
      </c>
    </row>
    <row r="8" spans="1:12" ht="30" x14ac:dyDescent="0.25">
      <c r="A8" s="13" t="s">
        <v>253</v>
      </c>
      <c r="B8" s="8">
        <v>16</v>
      </c>
      <c r="C8" s="8">
        <v>16</v>
      </c>
      <c r="D8" s="8">
        <v>16</v>
      </c>
      <c r="E8" s="8">
        <v>16</v>
      </c>
      <c r="F8" s="16" t="s">
        <v>200</v>
      </c>
      <c r="H8" s="33" t="s">
        <v>520</v>
      </c>
      <c r="I8" s="8">
        <v>8</v>
      </c>
      <c r="J8" s="8">
        <v>8</v>
      </c>
      <c r="K8" s="8">
        <v>8</v>
      </c>
      <c r="L8" s="8">
        <v>8</v>
      </c>
    </row>
    <row r="9" spans="1:12" ht="30" x14ac:dyDescent="0.25">
      <c r="A9" s="13" t="s">
        <v>240</v>
      </c>
      <c r="B9" s="8">
        <v>24</v>
      </c>
      <c r="C9" s="8">
        <v>16</v>
      </c>
      <c r="D9" s="8">
        <v>24</v>
      </c>
      <c r="E9" s="8">
        <v>16</v>
      </c>
      <c r="F9" s="16" t="s">
        <v>258</v>
      </c>
      <c r="H9" s="33" t="s">
        <v>521</v>
      </c>
      <c r="I9" s="8">
        <v>24</v>
      </c>
      <c r="J9" s="8">
        <v>16</v>
      </c>
      <c r="K9" s="8">
        <v>24</v>
      </c>
      <c r="L9" s="8">
        <v>16</v>
      </c>
    </row>
    <row r="10" spans="1:12" x14ac:dyDescent="0.25">
      <c r="A10" s="13" t="s">
        <v>241</v>
      </c>
      <c r="B10" s="8">
        <v>4</v>
      </c>
      <c r="C10" s="8">
        <v>4</v>
      </c>
      <c r="D10" s="8">
        <v>4</v>
      </c>
      <c r="E10" s="8">
        <v>4</v>
      </c>
      <c r="F10" s="16" t="s">
        <v>259</v>
      </c>
      <c r="H10" s="33" t="s">
        <v>522</v>
      </c>
      <c r="I10" s="8">
        <v>4</v>
      </c>
      <c r="J10" s="8">
        <v>4</v>
      </c>
      <c r="K10" s="8">
        <v>4</v>
      </c>
      <c r="L10" s="8">
        <v>4</v>
      </c>
    </row>
    <row r="11" spans="1:12" ht="30" x14ac:dyDescent="0.25">
      <c r="A11" s="13" t="s">
        <v>242</v>
      </c>
      <c r="B11" s="8" t="s">
        <v>103</v>
      </c>
      <c r="C11" s="8" t="s">
        <v>103</v>
      </c>
      <c r="D11" s="8" t="s">
        <v>103</v>
      </c>
      <c r="E11" s="8" t="s">
        <v>103</v>
      </c>
      <c r="F11" s="16" t="s">
        <v>260</v>
      </c>
      <c r="H11" s="33" t="s">
        <v>523</v>
      </c>
      <c r="I11" s="8">
        <v>0</v>
      </c>
      <c r="J11" s="8">
        <v>0</v>
      </c>
      <c r="K11" s="8">
        <v>0</v>
      </c>
      <c r="L11" s="8">
        <v>0</v>
      </c>
    </row>
    <row r="12" spans="1:12" ht="30" x14ac:dyDescent="0.25">
      <c r="A12" s="13" t="s">
        <v>243</v>
      </c>
      <c r="B12" s="8" t="s">
        <v>103</v>
      </c>
      <c r="C12" s="8" t="s">
        <v>103</v>
      </c>
      <c r="D12" s="8" t="s">
        <v>103</v>
      </c>
      <c r="E12" s="8" t="s">
        <v>103</v>
      </c>
      <c r="F12" s="16" t="s">
        <v>261</v>
      </c>
      <c r="H12" s="33" t="s">
        <v>524</v>
      </c>
      <c r="I12" s="8">
        <v>0</v>
      </c>
      <c r="J12" s="8">
        <v>0</v>
      </c>
      <c r="K12" s="8">
        <v>0</v>
      </c>
      <c r="L12" s="8">
        <v>0</v>
      </c>
    </row>
    <row r="13" spans="1:12" ht="30" x14ac:dyDescent="0.25">
      <c r="A13" s="13" t="s">
        <v>244</v>
      </c>
      <c r="B13" s="8">
        <v>2</v>
      </c>
      <c r="C13" s="8">
        <v>2</v>
      </c>
      <c r="D13" s="8">
        <v>2</v>
      </c>
      <c r="E13" s="8">
        <v>2</v>
      </c>
      <c r="F13" s="16" t="s">
        <v>262</v>
      </c>
      <c r="H13" s="33" t="s">
        <v>525</v>
      </c>
      <c r="I13" s="8">
        <v>2</v>
      </c>
      <c r="J13" s="8">
        <v>2</v>
      </c>
      <c r="K13" s="8">
        <v>2</v>
      </c>
      <c r="L13" s="8">
        <v>2</v>
      </c>
    </row>
    <row r="14" spans="1:12" x14ac:dyDescent="0.25">
      <c r="A14" s="13" t="s">
        <v>245</v>
      </c>
      <c r="B14" s="8" t="s">
        <v>254</v>
      </c>
      <c r="C14" s="8" t="s">
        <v>254</v>
      </c>
      <c r="D14" s="8" t="s">
        <v>94</v>
      </c>
      <c r="E14" s="8" t="s">
        <v>103</v>
      </c>
      <c r="F14" s="16" t="s">
        <v>263</v>
      </c>
      <c r="H14" s="33" t="s">
        <v>526</v>
      </c>
      <c r="I14" s="8"/>
      <c r="J14" s="8"/>
      <c r="K14" s="8">
        <v>1</v>
      </c>
      <c r="L14" s="8">
        <v>1</v>
      </c>
    </row>
    <row r="15" spans="1:12" ht="30" x14ac:dyDescent="0.25">
      <c r="A15" s="13" t="s">
        <v>250</v>
      </c>
      <c r="B15" s="8" t="s">
        <v>254</v>
      </c>
      <c r="C15" s="8" t="s">
        <v>254</v>
      </c>
      <c r="D15" s="8">
        <v>24</v>
      </c>
      <c r="E15" s="8">
        <v>16</v>
      </c>
      <c r="F15" s="16" t="s">
        <v>258</v>
      </c>
      <c r="H15" s="33" t="s">
        <v>529</v>
      </c>
      <c r="I15" s="8"/>
      <c r="J15" s="8"/>
      <c r="K15" s="8">
        <v>24</v>
      </c>
      <c r="L15" s="8">
        <v>16</v>
      </c>
    </row>
    <row r="16" spans="1:12" ht="30" x14ac:dyDescent="0.25">
      <c r="A16" s="13" t="s">
        <v>246</v>
      </c>
      <c r="B16" s="8" t="s">
        <v>254</v>
      </c>
      <c r="C16" s="8" t="s">
        <v>254</v>
      </c>
      <c r="D16" s="8">
        <v>8</v>
      </c>
      <c r="E16" s="8">
        <v>8</v>
      </c>
      <c r="F16" s="16" t="s">
        <v>200</v>
      </c>
      <c r="H16" s="33" t="s">
        <v>527</v>
      </c>
      <c r="I16" s="8"/>
      <c r="J16" s="8"/>
      <c r="K16" s="8">
        <v>8</v>
      </c>
      <c r="L16" s="8">
        <v>8</v>
      </c>
    </row>
    <row r="17" spans="1:12" ht="30" x14ac:dyDescent="0.25">
      <c r="A17" s="13" t="s">
        <v>249</v>
      </c>
      <c r="B17" s="8" t="s">
        <v>254</v>
      </c>
      <c r="C17" s="8" t="s">
        <v>254</v>
      </c>
      <c r="D17" s="8">
        <v>3</v>
      </c>
      <c r="E17" s="8">
        <v>3</v>
      </c>
      <c r="F17" s="16" t="s">
        <v>200</v>
      </c>
      <c r="H17" s="33" t="s">
        <v>528</v>
      </c>
      <c r="I17" s="8"/>
      <c r="J17" s="8"/>
      <c r="K17" s="8">
        <v>3</v>
      </c>
      <c r="L17" s="8">
        <v>3</v>
      </c>
    </row>
    <row r="18" spans="1:12" ht="30" x14ac:dyDescent="0.25">
      <c r="A18" s="13" t="s">
        <v>247</v>
      </c>
      <c r="B18" s="8" t="s">
        <v>94</v>
      </c>
      <c r="C18" s="8" t="s">
        <v>103</v>
      </c>
      <c r="D18" s="8" t="s">
        <v>254</v>
      </c>
      <c r="E18" s="8" t="s">
        <v>254</v>
      </c>
      <c r="F18" s="16" t="s">
        <v>264</v>
      </c>
      <c r="H18" s="33" t="s">
        <v>530</v>
      </c>
      <c r="I18" s="8">
        <v>1</v>
      </c>
      <c r="J18" s="8">
        <v>1</v>
      </c>
      <c r="K18" s="8"/>
      <c r="L18" s="8"/>
    </row>
    <row r="19" spans="1:12" ht="30" x14ac:dyDescent="0.25">
      <c r="A19" s="13" t="s">
        <v>251</v>
      </c>
      <c r="B19" s="8">
        <v>24</v>
      </c>
      <c r="C19" s="8">
        <v>16</v>
      </c>
      <c r="D19" s="8" t="s">
        <v>254</v>
      </c>
      <c r="E19" s="8" t="s">
        <v>254</v>
      </c>
      <c r="F19" s="16" t="s">
        <v>258</v>
      </c>
      <c r="H19" s="33" t="s">
        <v>531</v>
      </c>
      <c r="I19" s="8">
        <v>24</v>
      </c>
      <c r="J19" s="8">
        <v>16</v>
      </c>
      <c r="K19" s="8"/>
      <c r="L19" s="8"/>
    </row>
    <row r="20" spans="1:12" ht="30" x14ac:dyDescent="0.25">
      <c r="A20" s="13" t="s">
        <v>248</v>
      </c>
      <c r="B20" s="8">
        <v>8</v>
      </c>
      <c r="C20" s="8">
        <v>8</v>
      </c>
      <c r="D20" s="8" t="s">
        <v>254</v>
      </c>
      <c r="E20" s="8" t="s">
        <v>254</v>
      </c>
      <c r="F20" s="16" t="s">
        <v>200</v>
      </c>
      <c r="H20" s="33" t="s">
        <v>532</v>
      </c>
      <c r="I20" s="8">
        <v>8</v>
      </c>
      <c r="J20" s="8">
        <v>8</v>
      </c>
      <c r="K20" s="8"/>
      <c r="L20" s="8"/>
    </row>
    <row r="21" spans="1:12" ht="30.75" thickBot="1" x14ac:dyDescent="0.3">
      <c r="A21" s="14" t="s">
        <v>252</v>
      </c>
      <c r="B21" s="17">
        <v>3</v>
      </c>
      <c r="C21" s="17">
        <v>3</v>
      </c>
      <c r="D21" s="17" t="s">
        <v>254</v>
      </c>
      <c r="E21" s="17" t="s">
        <v>254</v>
      </c>
      <c r="F21" s="18" t="s">
        <v>200</v>
      </c>
      <c r="H21" s="34" t="s">
        <v>533</v>
      </c>
      <c r="I21" s="17">
        <v>3</v>
      </c>
      <c r="J21" s="17">
        <v>3</v>
      </c>
      <c r="K21" s="17"/>
      <c r="L21" s="17"/>
    </row>
  </sheetData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1"/>
  <sheetViews>
    <sheetView workbookViewId="0"/>
  </sheetViews>
  <sheetFormatPr defaultRowHeight="15" x14ac:dyDescent="0.25"/>
  <cols>
    <col min="1" max="1" width="36.28515625" customWidth="1"/>
    <col min="2" max="2" width="17.85546875" customWidth="1"/>
    <col min="3" max="3" width="42.28515625" customWidth="1"/>
    <col min="5" max="5" width="20.85546875" customWidth="1"/>
  </cols>
  <sheetData>
    <row r="1" spans="1:6" ht="32.25" thickBot="1" x14ac:dyDescent="0.3">
      <c r="A1" s="25" t="s">
        <v>11</v>
      </c>
      <c r="B1" s="26" t="s">
        <v>85</v>
      </c>
      <c r="C1" s="27" t="s">
        <v>265</v>
      </c>
      <c r="E1" s="37" t="s">
        <v>349</v>
      </c>
      <c r="F1" s="39" t="s">
        <v>390</v>
      </c>
    </row>
    <row r="2" spans="1:6" x14ac:dyDescent="0.25">
      <c r="A2" s="28" t="s">
        <v>114</v>
      </c>
      <c r="B2" s="29">
        <v>32</v>
      </c>
      <c r="C2" s="30" t="s">
        <v>170</v>
      </c>
      <c r="E2" s="33" t="s">
        <v>408</v>
      </c>
      <c r="F2" s="35">
        <v>32</v>
      </c>
    </row>
    <row r="3" spans="1:6" x14ac:dyDescent="0.25">
      <c r="A3" s="13" t="s">
        <v>278</v>
      </c>
      <c r="B3" s="8" t="s">
        <v>103</v>
      </c>
      <c r="C3" s="16" t="s">
        <v>286</v>
      </c>
      <c r="E3" s="33" t="s">
        <v>534</v>
      </c>
      <c r="F3" s="35">
        <v>0</v>
      </c>
    </row>
    <row r="4" spans="1:6" ht="30" x14ac:dyDescent="0.25">
      <c r="A4" s="13" t="s">
        <v>285</v>
      </c>
      <c r="B4" s="8" t="s">
        <v>103</v>
      </c>
      <c r="C4" s="16" t="s">
        <v>1490</v>
      </c>
      <c r="E4" s="33" t="s">
        <v>535</v>
      </c>
      <c r="F4" s="35">
        <v>0</v>
      </c>
    </row>
    <row r="5" spans="1:6" x14ac:dyDescent="0.25">
      <c r="A5" s="13" t="s">
        <v>279</v>
      </c>
      <c r="B5" s="8">
        <v>32</v>
      </c>
      <c r="C5" s="16" t="s">
        <v>807</v>
      </c>
      <c r="E5" s="33" t="s">
        <v>536</v>
      </c>
      <c r="F5" s="35">
        <v>32</v>
      </c>
    </row>
    <row r="6" spans="1:6" x14ac:dyDescent="0.25">
      <c r="A6" s="13" t="s">
        <v>280</v>
      </c>
      <c r="B6" s="8" t="s">
        <v>103</v>
      </c>
      <c r="C6" s="16" t="s">
        <v>838</v>
      </c>
      <c r="E6" s="33" t="s">
        <v>537</v>
      </c>
      <c r="F6" s="35">
        <v>0</v>
      </c>
    </row>
    <row r="7" spans="1:6" x14ac:dyDescent="0.25">
      <c r="A7" s="13" t="s">
        <v>281</v>
      </c>
      <c r="B7" s="20" t="s">
        <v>55</v>
      </c>
      <c r="C7" s="16" t="s">
        <v>287</v>
      </c>
      <c r="E7" s="33" t="s">
        <v>538</v>
      </c>
      <c r="F7" s="35">
        <v>1</v>
      </c>
    </row>
    <row r="8" spans="1:6" ht="30" x14ac:dyDescent="0.25">
      <c r="A8" s="13" t="s">
        <v>288</v>
      </c>
      <c r="B8" s="20" t="s">
        <v>94</v>
      </c>
      <c r="C8" s="16" t="s">
        <v>191</v>
      </c>
      <c r="E8" s="33" t="s">
        <v>539</v>
      </c>
      <c r="F8" s="35">
        <v>1</v>
      </c>
    </row>
    <row r="9" spans="1:6" ht="30" x14ac:dyDescent="0.25">
      <c r="A9" s="13" t="s">
        <v>282</v>
      </c>
      <c r="B9" s="8" t="s">
        <v>94</v>
      </c>
      <c r="C9" s="16" t="s">
        <v>200</v>
      </c>
      <c r="E9" s="33" t="s">
        <v>540</v>
      </c>
      <c r="F9" s="35">
        <v>1</v>
      </c>
    </row>
    <row r="10" spans="1:6" x14ac:dyDescent="0.25">
      <c r="A10" s="13" t="s">
        <v>283</v>
      </c>
      <c r="B10" s="8" t="s">
        <v>103</v>
      </c>
      <c r="C10" s="16" t="s">
        <v>289</v>
      </c>
      <c r="E10" s="33" t="s">
        <v>541</v>
      </c>
      <c r="F10" s="35">
        <v>0</v>
      </c>
    </row>
    <row r="11" spans="1:6" ht="15.75" thickBot="1" x14ac:dyDescent="0.3">
      <c r="A11" s="14" t="s">
        <v>284</v>
      </c>
      <c r="B11" s="17" t="s">
        <v>103</v>
      </c>
      <c r="C11" s="18" t="s">
        <v>261</v>
      </c>
      <c r="E11" s="34" t="s">
        <v>542</v>
      </c>
      <c r="F11" s="36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3"/>
  <sheetViews>
    <sheetView workbookViewId="0"/>
  </sheetViews>
  <sheetFormatPr defaultRowHeight="15" x14ac:dyDescent="0.25"/>
  <cols>
    <col min="1" max="1" width="35.140625" customWidth="1"/>
    <col min="2" max="2" width="17" customWidth="1"/>
    <col min="3" max="3" width="33.85546875" customWidth="1"/>
    <col min="5" max="5" width="29.140625" customWidth="1"/>
    <col min="6" max="6" width="18.140625" customWidth="1"/>
  </cols>
  <sheetData>
    <row r="1" spans="1:6" ht="32.25" thickBot="1" x14ac:dyDescent="0.3">
      <c r="A1" s="25" t="s">
        <v>11</v>
      </c>
      <c r="B1" s="26" t="s">
        <v>85</v>
      </c>
      <c r="C1" s="27" t="s">
        <v>265</v>
      </c>
      <c r="E1" s="37" t="s">
        <v>349</v>
      </c>
      <c r="F1" s="39" t="s">
        <v>390</v>
      </c>
    </row>
    <row r="2" spans="1:6" x14ac:dyDescent="0.25">
      <c r="A2" s="28" t="s">
        <v>293</v>
      </c>
      <c r="B2" s="29" t="s">
        <v>94</v>
      </c>
      <c r="C2" s="30" t="s">
        <v>293</v>
      </c>
      <c r="E2" s="33" t="s">
        <v>874</v>
      </c>
      <c r="F2" s="35">
        <v>1</v>
      </c>
    </row>
    <row r="3" spans="1:6" x14ac:dyDescent="0.25">
      <c r="A3" s="13" t="s">
        <v>114</v>
      </c>
      <c r="B3" s="8">
        <v>32</v>
      </c>
      <c r="C3" s="16" t="s">
        <v>875</v>
      </c>
      <c r="E3" s="33" t="s">
        <v>408</v>
      </c>
      <c r="F3" s="35">
        <v>32</v>
      </c>
    </row>
    <row r="4" spans="1:6" x14ac:dyDescent="0.25">
      <c r="A4" s="13" t="s">
        <v>876</v>
      </c>
      <c r="B4" s="8">
        <v>4</v>
      </c>
      <c r="C4" s="16" t="s">
        <v>877</v>
      </c>
      <c r="E4" s="33" t="s">
        <v>878</v>
      </c>
      <c r="F4" s="35">
        <v>4</v>
      </c>
    </row>
    <row r="5" spans="1:6" x14ac:dyDescent="0.25">
      <c r="A5" s="13" t="s">
        <v>879</v>
      </c>
      <c r="B5" s="8" t="s">
        <v>880</v>
      </c>
      <c r="C5" s="16" t="s">
        <v>881</v>
      </c>
      <c r="E5" s="33" t="s">
        <v>882</v>
      </c>
      <c r="F5" s="35">
        <v>0</v>
      </c>
    </row>
    <row r="6" spans="1:6" x14ac:dyDescent="0.25">
      <c r="A6" s="13" t="s">
        <v>883</v>
      </c>
      <c r="B6" s="8">
        <v>8</v>
      </c>
      <c r="C6" s="16" t="s">
        <v>884</v>
      </c>
      <c r="E6" s="33" t="s">
        <v>886</v>
      </c>
      <c r="F6" s="35">
        <v>8</v>
      </c>
    </row>
    <row r="7" spans="1:6" x14ac:dyDescent="0.25">
      <c r="A7" s="13" t="s">
        <v>885</v>
      </c>
      <c r="B7" s="20" t="s">
        <v>880</v>
      </c>
      <c r="C7" s="16" t="s">
        <v>887</v>
      </c>
      <c r="E7" s="33" t="s">
        <v>888</v>
      </c>
      <c r="F7" s="35">
        <v>0</v>
      </c>
    </row>
    <row r="8" spans="1:6" x14ac:dyDescent="0.25">
      <c r="A8" s="13" t="s">
        <v>923</v>
      </c>
      <c r="B8" s="20" t="s">
        <v>103</v>
      </c>
      <c r="C8" s="16" t="s">
        <v>890</v>
      </c>
      <c r="E8" s="33" t="s">
        <v>889</v>
      </c>
      <c r="F8" s="35">
        <v>0</v>
      </c>
    </row>
    <row r="9" spans="1:6" x14ac:dyDescent="0.25">
      <c r="A9" s="13" t="s">
        <v>891</v>
      </c>
      <c r="B9" s="8" t="s">
        <v>1491</v>
      </c>
      <c r="C9" s="16" t="s">
        <v>200</v>
      </c>
      <c r="E9" s="33" t="s">
        <v>892</v>
      </c>
      <c r="F9" s="35">
        <v>0</v>
      </c>
    </row>
    <row r="10" spans="1:6" x14ac:dyDescent="0.25">
      <c r="A10" s="13" t="s">
        <v>893</v>
      </c>
      <c r="B10" s="8" t="s">
        <v>894</v>
      </c>
      <c r="C10" s="16" t="s">
        <v>896</v>
      </c>
      <c r="E10" s="33" t="s">
        <v>895</v>
      </c>
      <c r="F10" s="35">
        <v>0</v>
      </c>
    </row>
    <row r="11" spans="1:6" x14ac:dyDescent="0.25">
      <c r="A11" s="13" t="s">
        <v>897</v>
      </c>
      <c r="B11" s="8" t="s">
        <v>900</v>
      </c>
      <c r="C11" s="16" t="s">
        <v>898</v>
      </c>
      <c r="E11" s="33" t="s">
        <v>899</v>
      </c>
      <c r="F11" s="35">
        <v>1</v>
      </c>
    </row>
    <row r="12" spans="1:6" x14ac:dyDescent="0.25">
      <c r="A12" s="13" t="s">
        <v>901</v>
      </c>
      <c r="B12" s="8" t="s">
        <v>900</v>
      </c>
      <c r="C12" s="16" t="s">
        <v>902</v>
      </c>
      <c r="E12" s="33" t="s">
        <v>903</v>
      </c>
      <c r="F12" s="35">
        <v>1</v>
      </c>
    </row>
    <row r="13" spans="1:6" x14ac:dyDescent="0.25">
      <c r="A13" s="13" t="s">
        <v>904</v>
      </c>
      <c r="B13" s="8" t="s">
        <v>905</v>
      </c>
      <c r="C13" s="16" t="s">
        <v>906</v>
      </c>
      <c r="E13" s="33" t="s">
        <v>907</v>
      </c>
      <c r="F13" s="35">
        <v>0</v>
      </c>
    </row>
    <row r="14" spans="1:6" x14ac:dyDescent="0.25">
      <c r="A14" s="13" t="s">
        <v>908</v>
      </c>
      <c r="B14" s="8" t="s">
        <v>94</v>
      </c>
      <c r="C14" s="16" t="s">
        <v>909</v>
      </c>
      <c r="E14" s="33" t="s">
        <v>910</v>
      </c>
      <c r="F14" s="35">
        <v>1</v>
      </c>
    </row>
    <row r="15" spans="1:6" ht="30" x14ac:dyDescent="0.25">
      <c r="A15" s="13" t="s">
        <v>922</v>
      </c>
      <c r="B15" s="8" t="s">
        <v>103</v>
      </c>
      <c r="C15" s="16" t="s">
        <v>911</v>
      </c>
      <c r="E15" s="33" t="s">
        <v>912</v>
      </c>
      <c r="F15" s="35">
        <v>0</v>
      </c>
    </row>
    <row r="16" spans="1:6" x14ac:dyDescent="0.25">
      <c r="A16" s="13" t="s">
        <v>921</v>
      </c>
      <c r="B16" s="8">
        <v>0</v>
      </c>
      <c r="C16" s="16" t="s">
        <v>200</v>
      </c>
      <c r="E16" s="33" t="s">
        <v>913</v>
      </c>
      <c r="F16" s="35">
        <v>0</v>
      </c>
    </row>
    <row r="17" spans="1:6" x14ac:dyDescent="0.25">
      <c r="A17" s="13" t="s">
        <v>914</v>
      </c>
      <c r="B17" s="8">
        <v>0</v>
      </c>
      <c r="C17" s="16" t="s">
        <v>915</v>
      </c>
      <c r="E17" s="33" t="s">
        <v>916</v>
      </c>
      <c r="F17" s="35">
        <v>0</v>
      </c>
    </row>
    <row r="18" spans="1:6" x14ac:dyDescent="0.25">
      <c r="A18" s="13" t="s">
        <v>917</v>
      </c>
      <c r="B18" s="8">
        <v>8</v>
      </c>
      <c r="C18" s="16" t="s">
        <v>884</v>
      </c>
      <c r="E18" s="33" t="s">
        <v>931</v>
      </c>
      <c r="F18" s="35">
        <v>8</v>
      </c>
    </row>
    <row r="19" spans="1:6" x14ac:dyDescent="0.25">
      <c r="A19" s="13" t="s">
        <v>918</v>
      </c>
      <c r="B19" s="20" t="s">
        <v>880</v>
      </c>
      <c r="C19" s="16" t="s">
        <v>887</v>
      </c>
      <c r="E19" s="33" t="s">
        <v>930</v>
      </c>
      <c r="F19" s="35">
        <v>0</v>
      </c>
    </row>
    <row r="20" spans="1:6" x14ac:dyDescent="0.25">
      <c r="A20" s="13" t="s">
        <v>924</v>
      </c>
      <c r="B20" s="20" t="s">
        <v>103</v>
      </c>
      <c r="C20" s="16" t="s">
        <v>890</v>
      </c>
      <c r="E20" s="33" t="s">
        <v>929</v>
      </c>
      <c r="F20" s="35">
        <v>0</v>
      </c>
    </row>
    <row r="21" spans="1:6" x14ac:dyDescent="0.25">
      <c r="A21" s="13" t="s">
        <v>919</v>
      </c>
      <c r="B21" s="8" t="s">
        <v>1491</v>
      </c>
      <c r="C21" s="16" t="s">
        <v>200</v>
      </c>
      <c r="E21" s="33" t="s">
        <v>928</v>
      </c>
      <c r="F21" s="35">
        <v>0</v>
      </c>
    </row>
    <row r="22" spans="1:6" x14ac:dyDescent="0.25">
      <c r="A22" s="13" t="s">
        <v>920</v>
      </c>
      <c r="B22" s="8" t="s">
        <v>894</v>
      </c>
      <c r="C22" s="16" t="s">
        <v>896</v>
      </c>
      <c r="E22" s="33" t="s">
        <v>927</v>
      </c>
      <c r="F22" s="35">
        <v>0</v>
      </c>
    </row>
    <row r="23" spans="1:6" ht="30.75" thickBot="1" x14ac:dyDescent="0.3">
      <c r="A23" s="14" t="s">
        <v>925</v>
      </c>
      <c r="B23" s="17" t="s">
        <v>103</v>
      </c>
      <c r="C23" s="18" t="s">
        <v>911</v>
      </c>
      <c r="E23" s="34" t="s">
        <v>926</v>
      </c>
      <c r="F23" s="36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40"/>
  <sheetViews>
    <sheetView workbookViewId="0"/>
  </sheetViews>
  <sheetFormatPr defaultRowHeight="15" x14ac:dyDescent="0.25"/>
  <cols>
    <col min="1" max="1" width="46.85546875" customWidth="1"/>
    <col min="2" max="2" width="13" customWidth="1"/>
    <col min="3" max="3" width="26.42578125" customWidth="1"/>
    <col min="5" max="5" width="30.42578125" customWidth="1"/>
    <col min="8" max="8" width="13.5703125" customWidth="1"/>
    <col min="9" max="9" width="16.28515625" customWidth="1"/>
  </cols>
  <sheetData>
    <row r="1" spans="1:6" ht="31.5" x14ac:dyDescent="0.25">
      <c r="A1" s="9" t="s">
        <v>11</v>
      </c>
      <c r="B1" s="15" t="s">
        <v>85</v>
      </c>
      <c r="C1" s="10" t="s">
        <v>265</v>
      </c>
      <c r="E1" s="37" t="s">
        <v>349</v>
      </c>
      <c r="F1" s="39" t="s">
        <v>390</v>
      </c>
    </row>
    <row r="2" spans="1:6" x14ac:dyDescent="0.25">
      <c r="A2" s="13" t="s">
        <v>301</v>
      </c>
      <c r="B2" s="31" t="s">
        <v>103</v>
      </c>
      <c r="C2" s="16" t="s">
        <v>135</v>
      </c>
      <c r="E2" s="33" t="s">
        <v>429</v>
      </c>
      <c r="F2" s="35">
        <v>0</v>
      </c>
    </row>
    <row r="3" spans="1:6" ht="45" x14ac:dyDescent="0.25">
      <c r="A3" s="13" t="s">
        <v>302</v>
      </c>
      <c r="B3" s="31">
        <v>2</v>
      </c>
      <c r="C3" s="16" t="s">
        <v>330</v>
      </c>
      <c r="E3" s="33" t="s">
        <v>543</v>
      </c>
      <c r="F3" s="35">
        <v>2</v>
      </c>
    </row>
    <row r="4" spans="1:6" x14ac:dyDescent="0.25">
      <c r="A4" s="13" t="s">
        <v>290</v>
      </c>
      <c r="B4" s="31">
        <v>8</v>
      </c>
      <c r="C4" s="16" t="s">
        <v>331</v>
      </c>
      <c r="E4" s="33" t="s">
        <v>544</v>
      </c>
      <c r="F4" s="35">
        <v>8</v>
      </c>
    </row>
    <row r="5" spans="1:6" x14ac:dyDescent="0.25">
      <c r="A5" s="13" t="s">
        <v>303</v>
      </c>
      <c r="B5" s="31">
        <v>12</v>
      </c>
      <c r="C5" s="16" t="s">
        <v>1364</v>
      </c>
      <c r="E5" s="33" t="s">
        <v>545</v>
      </c>
      <c r="F5" s="35">
        <v>16</v>
      </c>
    </row>
    <row r="6" spans="1:6" x14ac:dyDescent="0.25">
      <c r="A6" s="13" t="s">
        <v>291</v>
      </c>
      <c r="B6" s="31" t="s">
        <v>159</v>
      </c>
      <c r="C6" s="16" t="s">
        <v>332</v>
      </c>
      <c r="E6" s="33" t="s">
        <v>546</v>
      </c>
      <c r="F6" s="35">
        <v>0</v>
      </c>
    </row>
    <row r="7" spans="1:6" x14ac:dyDescent="0.25">
      <c r="A7" s="13" t="s">
        <v>292</v>
      </c>
      <c r="B7" s="31" t="s">
        <v>103</v>
      </c>
      <c r="C7" s="16" t="s">
        <v>333</v>
      </c>
      <c r="E7" s="33" t="s">
        <v>547</v>
      </c>
      <c r="F7" s="35">
        <v>0</v>
      </c>
    </row>
    <row r="8" spans="1:6" x14ac:dyDescent="0.25">
      <c r="A8" s="13" t="s">
        <v>304</v>
      </c>
      <c r="B8" s="31" t="s">
        <v>329</v>
      </c>
      <c r="C8" s="16" t="s">
        <v>1492</v>
      </c>
      <c r="E8" s="33" t="s">
        <v>548</v>
      </c>
      <c r="F8" s="35">
        <v>2</v>
      </c>
    </row>
    <row r="9" spans="1:6" x14ac:dyDescent="0.25">
      <c r="A9" s="13" t="s">
        <v>305</v>
      </c>
      <c r="B9" s="31" t="s">
        <v>94</v>
      </c>
      <c r="C9" s="16" t="s">
        <v>334</v>
      </c>
      <c r="E9" s="33" t="s">
        <v>549</v>
      </c>
      <c r="F9" s="35">
        <v>1</v>
      </c>
    </row>
    <row r="10" spans="1:6" ht="30" x14ac:dyDescent="0.25">
      <c r="A10" s="13" t="s">
        <v>312</v>
      </c>
      <c r="B10" s="31" t="s">
        <v>94</v>
      </c>
      <c r="C10" s="16" t="s">
        <v>191</v>
      </c>
      <c r="E10" s="33" t="s">
        <v>550</v>
      </c>
      <c r="F10" s="35">
        <v>1</v>
      </c>
    </row>
    <row r="11" spans="1:6" ht="30" x14ac:dyDescent="0.25">
      <c r="A11" s="13" t="s">
        <v>306</v>
      </c>
      <c r="B11" s="31" t="s">
        <v>94</v>
      </c>
      <c r="C11" s="16" t="s">
        <v>335</v>
      </c>
      <c r="E11" s="33" t="s">
        <v>551</v>
      </c>
      <c r="F11" s="35">
        <v>1</v>
      </c>
    </row>
    <row r="12" spans="1:6" x14ac:dyDescent="0.25">
      <c r="A12" s="13" t="s">
        <v>293</v>
      </c>
      <c r="B12" s="31" t="s">
        <v>94</v>
      </c>
      <c r="C12" s="16" t="s">
        <v>336</v>
      </c>
      <c r="E12" s="33" t="s">
        <v>552</v>
      </c>
      <c r="F12" s="35">
        <v>1</v>
      </c>
    </row>
    <row r="13" spans="1:6" ht="30" x14ac:dyDescent="0.25">
      <c r="A13" s="13" t="s">
        <v>307</v>
      </c>
      <c r="B13" s="31" t="s">
        <v>94</v>
      </c>
      <c r="C13" s="16" t="s">
        <v>337</v>
      </c>
      <c r="E13" s="33" t="s">
        <v>553</v>
      </c>
      <c r="F13" s="35">
        <v>1</v>
      </c>
    </row>
    <row r="14" spans="1:6" x14ac:dyDescent="0.25">
      <c r="A14" s="13" t="s">
        <v>294</v>
      </c>
      <c r="B14" s="31" t="s">
        <v>103</v>
      </c>
      <c r="C14" s="16" t="s">
        <v>337</v>
      </c>
      <c r="E14" s="33" t="s">
        <v>554</v>
      </c>
      <c r="F14" s="35">
        <v>0</v>
      </c>
    </row>
    <row r="15" spans="1:6" x14ac:dyDescent="0.25">
      <c r="A15" s="13" t="s">
        <v>295</v>
      </c>
      <c r="B15" s="31">
        <v>32</v>
      </c>
      <c r="C15" s="16" t="s">
        <v>338</v>
      </c>
      <c r="E15" s="33" t="s">
        <v>555</v>
      </c>
      <c r="F15" s="35">
        <v>32</v>
      </c>
    </row>
    <row r="16" spans="1:6" x14ac:dyDescent="0.25">
      <c r="A16" s="13" t="s">
        <v>296</v>
      </c>
      <c r="B16" s="31" t="s">
        <v>94</v>
      </c>
      <c r="C16" s="16" t="s">
        <v>339</v>
      </c>
      <c r="E16" s="33" t="s">
        <v>556</v>
      </c>
      <c r="F16" s="35">
        <v>1</v>
      </c>
    </row>
    <row r="17" spans="1:6" x14ac:dyDescent="0.25">
      <c r="A17" s="13" t="s">
        <v>297</v>
      </c>
      <c r="B17" s="31">
        <v>32</v>
      </c>
      <c r="C17" s="16" t="s">
        <v>1493</v>
      </c>
      <c r="E17" s="33" t="s">
        <v>557</v>
      </c>
      <c r="F17" s="35">
        <v>32</v>
      </c>
    </row>
    <row r="18" spans="1:6" x14ac:dyDescent="0.25">
      <c r="A18" s="13" t="s">
        <v>298</v>
      </c>
      <c r="B18" s="31" t="s">
        <v>94</v>
      </c>
      <c r="C18" s="16" t="s">
        <v>339</v>
      </c>
      <c r="E18" s="33" t="s">
        <v>558</v>
      </c>
      <c r="F18" s="35">
        <v>1</v>
      </c>
    </row>
    <row r="19" spans="1:6" x14ac:dyDescent="0.25">
      <c r="A19" s="13" t="s">
        <v>299</v>
      </c>
      <c r="B19" s="31">
        <v>32</v>
      </c>
      <c r="C19" s="16" t="s">
        <v>338</v>
      </c>
      <c r="E19" s="33" t="s">
        <v>559</v>
      </c>
      <c r="F19" s="35">
        <v>32</v>
      </c>
    </row>
    <row r="20" spans="1:6" x14ac:dyDescent="0.25">
      <c r="A20" s="13" t="s">
        <v>300</v>
      </c>
      <c r="B20" s="31">
        <v>32</v>
      </c>
      <c r="C20" s="16" t="s">
        <v>340</v>
      </c>
      <c r="E20" s="33" t="s">
        <v>560</v>
      </c>
      <c r="F20" s="35">
        <v>32</v>
      </c>
    </row>
    <row r="21" spans="1:6" x14ac:dyDescent="0.25">
      <c r="A21" s="13" t="s">
        <v>308</v>
      </c>
      <c r="B21" s="31">
        <v>16</v>
      </c>
      <c r="C21" s="16" t="s">
        <v>341</v>
      </c>
      <c r="E21" s="33" t="s">
        <v>561</v>
      </c>
      <c r="F21" s="35">
        <v>16</v>
      </c>
    </row>
    <row r="22" spans="1:6" x14ac:dyDescent="0.25">
      <c r="A22" s="13" t="s">
        <v>309</v>
      </c>
      <c r="B22" s="31">
        <v>31</v>
      </c>
      <c r="C22" s="16" t="s">
        <v>200</v>
      </c>
      <c r="E22" s="33" t="s">
        <v>562</v>
      </c>
      <c r="F22" s="35">
        <v>31</v>
      </c>
    </row>
    <row r="23" spans="1:6" ht="30" x14ac:dyDescent="0.25">
      <c r="A23" s="13" t="s">
        <v>310</v>
      </c>
      <c r="B23" s="31" t="s">
        <v>103</v>
      </c>
      <c r="C23" s="16" t="s">
        <v>191</v>
      </c>
      <c r="E23" s="33" t="s">
        <v>563</v>
      </c>
      <c r="F23" s="35">
        <v>3</v>
      </c>
    </row>
    <row r="24" spans="1:6" ht="30" x14ac:dyDescent="0.25">
      <c r="A24" s="13" t="s">
        <v>311</v>
      </c>
      <c r="B24" s="31" t="s">
        <v>103</v>
      </c>
      <c r="C24" s="16" t="s">
        <v>342</v>
      </c>
      <c r="E24" s="33" t="s">
        <v>564</v>
      </c>
      <c r="F24" s="35">
        <v>0</v>
      </c>
    </row>
    <row r="25" spans="1:6" ht="30" x14ac:dyDescent="0.25">
      <c r="A25" s="13" t="s">
        <v>313</v>
      </c>
      <c r="B25" s="31" t="s">
        <v>103</v>
      </c>
      <c r="C25" s="16" t="s">
        <v>191</v>
      </c>
      <c r="E25" s="33" t="s">
        <v>565</v>
      </c>
      <c r="F25" s="35">
        <v>4</v>
      </c>
    </row>
    <row r="26" spans="1:6" ht="30" x14ac:dyDescent="0.25">
      <c r="A26" s="13" t="s">
        <v>314</v>
      </c>
      <c r="B26" s="31" t="s">
        <v>103</v>
      </c>
      <c r="C26" s="16" t="s">
        <v>191</v>
      </c>
      <c r="E26" s="33" t="s">
        <v>566</v>
      </c>
      <c r="F26" s="35">
        <v>4</v>
      </c>
    </row>
    <row r="27" spans="1:6" x14ac:dyDescent="0.25">
      <c r="A27" s="13" t="s">
        <v>315</v>
      </c>
      <c r="B27" s="31" t="s">
        <v>103</v>
      </c>
      <c r="C27" s="16" t="s">
        <v>191</v>
      </c>
      <c r="E27" s="33" t="s">
        <v>567</v>
      </c>
      <c r="F27" s="35">
        <v>0</v>
      </c>
    </row>
    <row r="28" spans="1:6" x14ac:dyDescent="0.25">
      <c r="A28" s="13" t="s">
        <v>316</v>
      </c>
      <c r="B28" s="31" t="s">
        <v>103</v>
      </c>
      <c r="C28" s="16" t="s">
        <v>191</v>
      </c>
      <c r="E28" s="33" t="s">
        <v>568</v>
      </c>
      <c r="F28" s="35">
        <v>0</v>
      </c>
    </row>
    <row r="29" spans="1:6" ht="30" x14ac:dyDescent="0.25">
      <c r="A29" s="13" t="s">
        <v>317</v>
      </c>
      <c r="B29" s="31" t="s">
        <v>94</v>
      </c>
      <c r="C29" s="16" t="s">
        <v>335</v>
      </c>
      <c r="E29" s="33" t="s">
        <v>569</v>
      </c>
      <c r="F29" s="35">
        <v>1</v>
      </c>
    </row>
    <row r="30" spans="1:6" ht="30" x14ac:dyDescent="0.25">
      <c r="A30" s="13" t="s">
        <v>318</v>
      </c>
      <c r="B30" s="31" t="s">
        <v>94</v>
      </c>
      <c r="C30" s="16" t="s">
        <v>335</v>
      </c>
      <c r="E30" s="33" t="s">
        <v>570</v>
      </c>
      <c r="F30" s="35">
        <v>1</v>
      </c>
    </row>
    <row r="31" spans="1:6" ht="30" x14ac:dyDescent="0.25">
      <c r="A31" s="13" t="s">
        <v>319</v>
      </c>
      <c r="B31" s="31" t="s">
        <v>94</v>
      </c>
      <c r="C31" s="16" t="s">
        <v>191</v>
      </c>
      <c r="E31" s="33" t="s">
        <v>571</v>
      </c>
      <c r="F31" s="35">
        <v>1</v>
      </c>
    </row>
    <row r="32" spans="1:6" x14ac:dyDescent="0.25">
      <c r="A32" s="13" t="s">
        <v>320</v>
      </c>
      <c r="B32" s="31" t="s">
        <v>1494</v>
      </c>
      <c r="C32" s="16" t="s">
        <v>343</v>
      </c>
      <c r="E32" s="33" t="s">
        <v>572</v>
      </c>
      <c r="F32" s="35">
        <v>0</v>
      </c>
    </row>
    <row r="33" spans="1:6" x14ac:dyDescent="0.25">
      <c r="A33" s="13" t="s">
        <v>321</v>
      </c>
      <c r="B33" s="31" t="s">
        <v>103</v>
      </c>
      <c r="C33" s="16" t="s">
        <v>191</v>
      </c>
      <c r="E33" s="33" t="s">
        <v>573</v>
      </c>
      <c r="F33" s="35">
        <v>0</v>
      </c>
    </row>
    <row r="34" spans="1:6" x14ac:dyDescent="0.25">
      <c r="A34" s="13" t="s">
        <v>322</v>
      </c>
      <c r="B34" s="31" t="s">
        <v>103</v>
      </c>
      <c r="C34" s="16" t="s">
        <v>344</v>
      </c>
      <c r="E34" s="33" t="s">
        <v>574</v>
      </c>
      <c r="F34" s="35">
        <v>0</v>
      </c>
    </row>
    <row r="35" spans="1:6" x14ac:dyDescent="0.25">
      <c r="A35" s="13" t="s">
        <v>323</v>
      </c>
      <c r="B35" s="31" t="s">
        <v>103</v>
      </c>
      <c r="C35" s="16" t="s">
        <v>344</v>
      </c>
      <c r="E35" s="33" t="s">
        <v>575</v>
      </c>
      <c r="F35" s="35">
        <v>0</v>
      </c>
    </row>
    <row r="36" spans="1:6" ht="30" x14ac:dyDescent="0.25">
      <c r="A36" s="13" t="s">
        <v>324</v>
      </c>
      <c r="B36" s="31" t="s">
        <v>103</v>
      </c>
      <c r="C36" s="16" t="s">
        <v>191</v>
      </c>
      <c r="E36" s="33" t="s">
        <v>576</v>
      </c>
      <c r="F36" s="35">
        <v>4</v>
      </c>
    </row>
    <row r="37" spans="1:6" ht="30" x14ac:dyDescent="0.25">
      <c r="A37" s="13" t="s">
        <v>325</v>
      </c>
      <c r="B37" s="31" t="s">
        <v>94</v>
      </c>
      <c r="C37" s="16" t="s">
        <v>335</v>
      </c>
      <c r="E37" s="33" t="s">
        <v>577</v>
      </c>
      <c r="F37" s="35">
        <v>1</v>
      </c>
    </row>
    <row r="38" spans="1:6" ht="30" x14ac:dyDescent="0.25">
      <c r="A38" s="13" t="s">
        <v>326</v>
      </c>
      <c r="B38" s="31" t="s">
        <v>94</v>
      </c>
      <c r="C38" s="16" t="s">
        <v>345</v>
      </c>
      <c r="E38" s="33" t="s">
        <v>578</v>
      </c>
      <c r="F38" s="35">
        <v>1</v>
      </c>
    </row>
    <row r="39" spans="1:6" ht="30" x14ac:dyDescent="0.25">
      <c r="A39" s="13" t="s">
        <v>327</v>
      </c>
      <c r="B39" s="31" t="s">
        <v>94</v>
      </c>
      <c r="C39" s="16" t="s">
        <v>345</v>
      </c>
      <c r="E39" s="33" t="s">
        <v>579</v>
      </c>
      <c r="F39" s="35">
        <v>1</v>
      </c>
    </row>
    <row r="40" spans="1:6" ht="30.75" thickBot="1" x14ac:dyDescent="0.3">
      <c r="A40" s="14" t="s">
        <v>328</v>
      </c>
      <c r="B40" s="32" t="s">
        <v>103</v>
      </c>
      <c r="C40" s="18" t="s">
        <v>346</v>
      </c>
      <c r="E40" s="34" t="s">
        <v>580</v>
      </c>
      <c r="F40" s="36">
        <v>0</v>
      </c>
    </row>
  </sheetData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5"/>
  <sheetViews>
    <sheetView workbookViewId="0"/>
  </sheetViews>
  <sheetFormatPr defaultRowHeight="15" x14ac:dyDescent="0.25"/>
  <cols>
    <col min="1" max="1" width="25.28515625" customWidth="1"/>
    <col min="2" max="2" width="13.28515625" customWidth="1"/>
    <col min="3" max="3" width="30.7109375" customWidth="1"/>
    <col min="5" max="5" width="23.85546875" customWidth="1"/>
    <col min="6" max="6" width="14.140625" customWidth="1"/>
  </cols>
  <sheetData>
    <row r="1" spans="1:6" ht="32.25" thickBot="1" x14ac:dyDescent="0.3">
      <c r="A1" s="25" t="s">
        <v>11</v>
      </c>
      <c r="B1" s="26" t="s">
        <v>85</v>
      </c>
      <c r="C1" s="27" t="s">
        <v>265</v>
      </c>
      <c r="E1" s="37" t="s">
        <v>349</v>
      </c>
      <c r="F1" s="39" t="s">
        <v>390</v>
      </c>
    </row>
    <row r="2" spans="1:6" x14ac:dyDescent="0.25">
      <c r="A2" s="28" t="s">
        <v>1128</v>
      </c>
      <c r="B2" s="29">
        <v>20</v>
      </c>
      <c r="C2" s="30" t="s">
        <v>1134</v>
      </c>
      <c r="E2" s="33" t="s">
        <v>1133</v>
      </c>
      <c r="F2" s="35">
        <v>20</v>
      </c>
    </row>
    <row r="3" spans="1:6" x14ac:dyDescent="0.25">
      <c r="A3" s="13" t="s">
        <v>1121</v>
      </c>
      <c r="B3" s="8">
        <v>64</v>
      </c>
      <c r="C3" s="16" t="s">
        <v>1136</v>
      </c>
      <c r="E3" s="33" t="s">
        <v>1135</v>
      </c>
      <c r="F3" s="35">
        <v>64</v>
      </c>
    </row>
    <row r="4" spans="1:6" x14ac:dyDescent="0.25">
      <c r="A4" s="13" t="s">
        <v>1122</v>
      </c>
      <c r="B4" s="8">
        <v>8</v>
      </c>
      <c r="C4" s="16" t="s">
        <v>1137</v>
      </c>
      <c r="E4" s="33" t="s">
        <v>1138</v>
      </c>
      <c r="F4" s="35">
        <v>8</v>
      </c>
    </row>
    <row r="5" spans="1:6" ht="30" x14ac:dyDescent="0.25">
      <c r="A5" s="13" t="s">
        <v>1129</v>
      </c>
      <c r="B5" s="8">
        <v>4</v>
      </c>
      <c r="C5" s="16" t="s">
        <v>1140</v>
      </c>
      <c r="E5" s="33" t="s">
        <v>1139</v>
      </c>
      <c r="F5" s="35">
        <v>4</v>
      </c>
    </row>
    <row r="6" spans="1:6" ht="30" x14ac:dyDescent="0.25">
      <c r="A6" s="13" t="s">
        <v>1130</v>
      </c>
      <c r="B6" s="8">
        <v>0</v>
      </c>
      <c r="C6" s="16" t="s">
        <v>1193</v>
      </c>
      <c r="E6" s="33" t="s">
        <v>1141</v>
      </c>
      <c r="F6" s="35">
        <v>0</v>
      </c>
    </row>
    <row r="7" spans="1:6" x14ac:dyDescent="0.25">
      <c r="A7" s="13" t="s">
        <v>1123</v>
      </c>
      <c r="B7" s="8" t="s">
        <v>10</v>
      </c>
      <c r="C7" s="16" t="s">
        <v>1142</v>
      </c>
      <c r="E7" s="33" t="s">
        <v>1143</v>
      </c>
      <c r="F7" s="35">
        <v>1</v>
      </c>
    </row>
    <row r="8" spans="1:6" ht="30" x14ac:dyDescent="0.25">
      <c r="A8" s="13" t="s">
        <v>991</v>
      </c>
      <c r="B8" s="8" t="s">
        <v>5</v>
      </c>
      <c r="C8" s="16" t="s">
        <v>989</v>
      </c>
      <c r="E8" s="33" t="s">
        <v>1144</v>
      </c>
      <c r="F8" s="35">
        <v>0</v>
      </c>
    </row>
    <row r="9" spans="1:6" ht="30" x14ac:dyDescent="0.25">
      <c r="A9" s="13" t="s">
        <v>1124</v>
      </c>
      <c r="B9" s="8" t="s">
        <v>10</v>
      </c>
      <c r="C9" s="16" t="s">
        <v>1146</v>
      </c>
      <c r="E9" s="33" t="s">
        <v>1145</v>
      </c>
      <c r="F9" s="35">
        <v>1</v>
      </c>
    </row>
    <row r="10" spans="1:6" x14ac:dyDescent="0.25">
      <c r="A10" s="13" t="s">
        <v>1125</v>
      </c>
      <c r="B10" s="8">
        <v>1</v>
      </c>
      <c r="C10" s="16" t="s">
        <v>1194</v>
      </c>
      <c r="E10" s="33" t="s">
        <v>1147</v>
      </c>
      <c r="F10" s="35">
        <v>1</v>
      </c>
    </row>
    <row r="11" spans="1:6" ht="30" x14ac:dyDescent="0.25">
      <c r="A11" s="13" t="s">
        <v>1028</v>
      </c>
      <c r="B11" s="8">
        <v>2</v>
      </c>
      <c r="C11" s="16" t="s">
        <v>1149</v>
      </c>
      <c r="E11" s="33" t="s">
        <v>1148</v>
      </c>
      <c r="F11" s="35">
        <v>2</v>
      </c>
    </row>
    <row r="12" spans="1:6" ht="30" x14ac:dyDescent="0.25">
      <c r="A12" s="13" t="s">
        <v>1126</v>
      </c>
      <c r="B12" s="8" t="s">
        <v>10</v>
      </c>
      <c r="C12" s="16" t="s">
        <v>1146</v>
      </c>
      <c r="E12" s="33" t="s">
        <v>1150</v>
      </c>
      <c r="F12" s="35">
        <v>1</v>
      </c>
    </row>
    <row r="13" spans="1:6" ht="30" x14ac:dyDescent="0.25">
      <c r="A13" s="13" t="s">
        <v>1127</v>
      </c>
      <c r="B13" s="8">
        <v>2</v>
      </c>
      <c r="C13" s="16" t="s">
        <v>1192</v>
      </c>
      <c r="E13" s="33" t="s">
        <v>1151</v>
      </c>
      <c r="F13" s="35">
        <v>2</v>
      </c>
    </row>
    <row r="14" spans="1:6" ht="30" x14ac:dyDescent="0.25">
      <c r="A14" s="13" t="s">
        <v>1131</v>
      </c>
      <c r="B14" s="8">
        <v>1</v>
      </c>
      <c r="C14" s="16" t="s">
        <v>1152</v>
      </c>
      <c r="E14" s="33" t="s">
        <v>1155</v>
      </c>
      <c r="F14" s="35">
        <v>1</v>
      </c>
    </row>
    <row r="15" spans="1:6" ht="30.75" thickBot="1" x14ac:dyDescent="0.3">
      <c r="A15" s="14" t="s">
        <v>1132</v>
      </c>
      <c r="B15" s="17">
        <v>1</v>
      </c>
      <c r="C15" s="18" t="s">
        <v>1153</v>
      </c>
      <c r="E15" s="34" t="s">
        <v>1154</v>
      </c>
      <c r="F15" s="36">
        <v>1</v>
      </c>
    </row>
  </sheetData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7"/>
  <sheetViews>
    <sheetView workbookViewId="0"/>
  </sheetViews>
  <sheetFormatPr defaultRowHeight="15" x14ac:dyDescent="0.25"/>
  <cols>
    <col min="1" max="1" width="37.7109375" customWidth="1"/>
    <col min="2" max="2" width="15.42578125" customWidth="1"/>
    <col min="3" max="3" width="44.5703125" customWidth="1"/>
    <col min="5" max="5" width="19" customWidth="1"/>
  </cols>
  <sheetData>
    <row r="1" spans="1:6" ht="31.5" x14ac:dyDescent="0.25">
      <c r="A1" s="9" t="s">
        <v>11</v>
      </c>
      <c r="B1" s="15" t="s">
        <v>85</v>
      </c>
      <c r="C1" s="10" t="s">
        <v>265</v>
      </c>
      <c r="E1" s="37" t="s">
        <v>349</v>
      </c>
      <c r="F1" s="39" t="s">
        <v>390</v>
      </c>
    </row>
    <row r="2" spans="1:6" x14ac:dyDescent="0.25">
      <c r="A2" s="13" t="s">
        <v>114</v>
      </c>
      <c r="B2" s="31">
        <v>32</v>
      </c>
      <c r="C2" s="16" t="s">
        <v>170</v>
      </c>
      <c r="E2" s="33" t="s">
        <v>408</v>
      </c>
      <c r="F2" s="35">
        <v>32</v>
      </c>
    </row>
    <row r="3" spans="1:6" x14ac:dyDescent="0.25">
      <c r="A3" s="13" t="s">
        <v>581</v>
      </c>
      <c r="B3" s="31">
        <v>32</v>
      </c>
      <c r="C3" s="16" t="s">
        <v>582</v>
      </c>
      <c r="E3" s="33" t="s">
        <v>583</v>
      </c>
      <c r="F3" s="35">
        <v>32</v>
      </c>
    </row>
    <row r="4" spans="1:6" x14ac:dyDescent="0.25">
      <c r="A4" s="13" t="s">
        <v>584</v>
      </c>
      <c r="B4" s="31" t="s">
        <v>103</v>
      </c>
      <c r="C4" s="16" t="s">
        <v>585</v>
      </c>
      <c r="E4" s="33" t="s">
        <v>586</v>
      </c>
      <c r="F4" s="35">
        <v>0</v>
      </c>
    </row>
    <row r="5" spans="1:6" x14ac:dyDescent="0.25">
      <c r="A5" s="13" t="s">
        <v>587</v>
      </c>
      <c r="B5" s="31" t="s">
        <v>103</v>
      </c>
      <c r="C5" s="16" t="s">
        <v>588</v>
      </c>
      <c r="E5" s="33" t="s">
        <v>589</v>
      </c>
      <c r="F5" s="35">
        <v>0</v>
      </c>
    </row>
    <row r="6" spans="1:6" x14ac:dyDescent="0.25">
      <c r="A6" s="13" t="s">
        <v>590</v>
      </c>
      <c r="B6" s="31" t="s">
        <v>103</v>
      </c>
      <c r="C6" s="16" t="s">
        <v>591</v>
      </c>
      <c r="E6" s="33" t="s">
        <v>592</v>
      </c>
      <c r="F6" s="35">
        <v>0</v>
      </c>
    </row>
    <row r="7" spans="1:6" x14ac:dyDescent="0.25">
      <c r="A7" s="13" t="s">
        <v>594</v>
      </c>
      <c r="B7" s="41" t="s">
        <v>103</v>
      </c>
      <c r="C7" s="16" t="s">
        <v>191</v>
      </c>
      <c r="E7" s="33" t="s">
        <v>593</v>
      </c>
      <c r="F7" s="35">
        <v>0</v>
      </c>
    </row>
    <row r="8" spans="1:6" x14ac:dyDescent="0.25">
      <c r="A8" s="13" t="s">
        <v>595</v>
      </c>
      <c r="B8" s="41">
        <v>7</v>
      </c>
      <c r="C8" s="16" t="s">
        <v>596</v>
      </c>
      <c r="E8" s="33" t="s">
        <v>597</v>
      </c>
      <c r="F8" s="35">
        <v>7</v>
      </c>
    </row>
    <row r="9" spans="1:6" x14ac:dyDescent="0.25">
      <c r="A9" s="13" t="s">
        <v>620</v>
      </c>
      <c r="B9" s="31" t="s">
        <v>103</v>
      </c>
      <c r="C9" s="16" t="s">
        <v>598</v>
      </c>
      <c r="E9" s="33" t="s">
        <v>599</v>
      </c>
      <c r="F9" s="35">
        <v>0</v>
      </c>
    </row>
    <row r="10" spans="1:6" x14ac:dyDescent="0.25">
      <c r="A10" s="13" t="s">
        <v>619</v>
      </c>
      <c r="B10" s="31" t="s">
        <v>602</v>
      </c>
      <c r="C10" s="16" t="s">
        <v>601</v>
      </c>
      <c r="E10" s="33" t="s">
        <v>600</v>
      </c>
      <c r="F10" s="35">
        <v>1</v>
      </c>
    </row>
    <row r="11" spans="1:6" ht="30" x14ac:dyDescent="0.25">
      <c r="A11" s="13" t="s">
        <v>618</v>
      </c>
      <c r="B11" s="31" t="s">
        <v>103</v>
      </c>
      <c r="C11" s="16" t="s">
        <v>603</v>
      </c>
      <c r="E11" s="33" t="s">
        <v>604</v>
      </c>
      <c r="F11" s="35">
        <v>0</v>
      </c>
    </row>
    <row r="12" spans="1:6" x14ac:dyDescent="0.25">
      <c r="A12" s="13" t="s">
        <v>617</v>
      </c>
      <c r="B12" s="31" t="s">
        <v>103</v>
      </c>
      <c r="C12" s="16" t="s">
        <v>135</v>
      </c>
      <c r="E12" s="33" t="s">
        <v>605</v>
      </c>
      <c r="F12" s="35">
        <v>1</v>
      </c>
    </row>
    <row r="13" spans="1:6" ht="30" x14ac:dyDescent="0.25">
      <c r="A13" s="13" t="s">
        <v>616</v>
      </c>
      <c r="B13" s="31" t="s">
        <v>103</v>
      </c>
      <c r="C13" s="16" t="s">
        <v>191</v>
      </c>
      <c r="E13" s="33" t="s">
        <v>606</v>
      </c>
      <c r="F13" s="35">
        <v>0</v>
      </c>
    </row>
    <row r="14" spans="1:6" x14ac:dyDescent="0.25">
      <c r="A14" s="13" t="s">
        <v>615</v>
      </c>
      <c r="B14" s="31" t="s">
        <v>103</v>
      </c>
      <c r="C14" s="16" t="s">
        <v>191</v>
      </c>
      <c r="E14" s="33" t="s">
        <v>607</v>
      </c>
      <c r="F14" s="35">
        <v>0</v>
      </c>
    </row>
    <row r="15" spans="1:6" ht="30" x14ac:dyDescent="0.25">
      <c r="A15" s="13" t="s">
        <v>612</v>
      </c>
      <c r="B15" s="31" t="s">
        <v>103</v>
      </c>
      <c r="C15" s="16" t="s">
        <v>200</v>
      </c>
      <c r="E15" s="33" t="s">
        <v>608</v>
      </c>
      <c r="F15" s="35">
        <v>0</v>
      </c>
    </row>
    <row r="16" spans="1:6" ht="30" x14ac:dyDescent="0.25">
      <c r="A16" s="13" t="s">
        <v>613</v>
      </c>
      <c r="B16" s="31" t="s">
        <v>610</v>
      </c>
      <c r="C16" s="16" t="s">
        <v>200</v>
      </c>
      <c r="E16" s="33" t="s">
        <v>609</v>
      </c>
      <c r="F16" s="35" t="s">
        <v>610</v>
      </c>
    </row>
    <row r="17" spans="1:6" ht="30.75" thickBot="1" x14ac:dyDescent="0.3">
      <c r="A17" s="14" t="s">
        <v>614</v>
      </c>
      <c r="B17" s="32" t="s">
        <v>103</v>
      </c>
      <c r="C17" s="18" t="s">
        <v>200</v>
      </c>
      <c r="E17" s="34" t="s">
        <v>611</v>
      </c>
      <c r="F17" s="36">
        <v>0</v>
      </c>
    </row>
  </sheetData>
  <pageMargins left="0.7" right="0.7" top="0.75" bottom="0.75" header="0.3" footer="0.3"/>
  <pageSetup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1"/>
  <sheetViews>
    <sheetView workbookViewId="0"/>
  </sheetViews>
  <sheetFormatPr defaultRowHeight="15" x14ac:dyDescent="0.25"/>
  <cols>
    <col min="1" max="1" width="34" customWidth="1"/>
    <col min="2" max="2" width="15.140625" customWidth="1"/>
    <col min="3" max="3" width="40.7109375" customWidth="1"/>
    <col min="5" max="5" width="29.140625" customWidth="1"/>
  </cols>
  <sheetData>
    <row r="1" spans="1:6" ht="31.5" x14ac:dyDescent="0.25">
      <c r="A1" s="9" t="s">
        <v>11</v>
      </c>
      <c r="B1" s="15" t="s">
        <v>85</v>
      </c>
      <c r="C1" s="10" t="s">
        <v>265</v>
      </c>
      <c r="E1" s="37" t="s">
        <v>349</v>
      </c>
      <c r="F1" s="39" t="s">
        <v>390</v>
      </c>
    </row>
    <row r="2" spans="1:6" x14ac:dyDescent="0.25">
      <c r="A2" s="13" t="s">
        <v>692</v>
      </c>
      <c r="B2" s="31" t="s">
        <v>103</v>
      </c>
      <c r="C2" s="16" t="s">
        <v>693</v>
      </c>
      <c r="E2" s="33" t="s">
        <v>694</v>
      </c>
      <c r="F2" s="35">
        <v>0</v>
      </c>
    </row>
    <row r="3" spans="1:6" ht="30" x14ac:dyDescent="0.25">
      <c r="A3" s="13" t="s">
        <v>714</v>
      </c>
      <c r="B3" s="31">
        <v>2</v>
      </c>
      <c r="C3" s="16" t="s">
        <v>200</v>
      </c>
      <c r="E3" s="33" t="s">
        <v>695</v>
      </c>
      <c r="F3" s="35">
        <v>2</v>
      </c>
    </row>
    <row r="4" spans="1:6" x14ac:dyDescent="0.25">
      <c r="A4" s="13" t="s">
        <v>696</v>
      </c>
      <c r="B4" s="31">
        <v>1</v>
      </c>
      <c r="C4" s="16" t="s">
        <v>697</v>
      </c>
      <c r="E4" s="33" t="s">
        <v>698</v>
      </c>
      <c r="F4" s="35">
        <v>1</v>
      </c>
    </row>
    <row r="5" spans="1:6" x14ac:dyDescent="0.25">
      <c r="A5" s="13" t="s">
        <v>699</v>
      </c>
      <c r="B5" s="31">
        <v>2</v>
      </c>
      <c r="C5" s="16" t="s">
        <v>700</v>
      </c>
      <c r="E5" s="33" t="s">
        <v>701</v>
      </c>
      <c r="F5" s="35">
        <v>2</v>
      </c>
    </row>
    <row r="6" spans="1:6" ht="30" x14ac:dyDescent="0.25">
      <c r="A6" s="13" t="s">
        <v>715</v>
      </c>
      <c r="B6" s="31">
        <v>2</v>
      </c>
      <c r="C6" s="16" t="s">
        <v>702</v>
      </c>
      <c r="E6" s="33" t="s">
        <v>703</v>
      </c>
      <c r="F6" s="35">
        <v>2</v>
      </c>
    </row>
    <row r="7" spans="1:6" x14ac:dyDescent="0.25">
      <c r="A7" s="13" t="s">
        <v>704</v>
      </c>
      <c r="B7" s="31" t="s">
        <v>94</v>
      </c>
      <c r="C7" s="16" t="s">
        <v>191</v>
      </c>
      <c r="E7" s="33" t="s">
        <v>705</v>
      </c>
      <c r="F7" s="35">
        <v>1</v>
      </c>
    </row>
    <row r="8" spans="1:6" x14ac:dyDescent="0.25">
      <c r="A8" s="13" t="s">
        <v>706</v>
      </c>
      <c r="B8" s="31">
        <v>488</v>
      </c>
      <c r="C8" s="16" t="s">
        <v>707</v>
      </c>
      <c r="E8" s="33" t="s">
        <v>708</v>
      </c>
      <c r="F8" s="35">
        <v>800</v>
      </c>
    </row>
    <row r="9" spans="1:6" x14ac:dyDescent="0.25">
      <c r="A9" s="13" t="s">
        <v>709</v>
      </c>
      <c r="B9" s="31">
        <v>10</v>
      </c>
      <c r="C9" s="16" t="s">
        <v>200</v>
      </c>
      <c r="E9" s="33" t="s">
        <v>710</v>
      </c>
      <c r="F9" s="35">
        <v>10</v>
      </c>
    </row>
    <row r="10" spans="1:6" x14ac:dyDescent="0.25">
      <c r="A10" s="13" t="s">
        <v>716</v>
      </c>
      <c r="B10" s="31">
        <v>200</v>
      </c>
      <c r="C10" s="16" t="s">
        <v>200</v>
      </c>
      <c r="E10" s="33" t="s">
        <v>711</v>
      </c>
      <c r="F10" s="35">
        <v>200</v>
      </c>
    </row>
    <row r="11" spans="1:6" ht="15.75" thickBot="1" x14ac:dyDescent="0.3">
      <c r="A11" s="14" t="s">
        <v>712</v>
      </c>
      <c r="B11" s="32">
        <v>15</v>
      </c>
      <c r="C11" s="18" t="s">
        <v>200</v>
      </c>
      <c r="E11" s="34" t="s">
        <v>713</v>
      </c>
      <c r="F11" s="36">
        <v>15</v>
      </c>
    </row>
  </sheetData>
  <pageMargins left="0.7" right="0.7" top="0.75" bottom="0.75" header="0.3" footer="0.3"/>
  <pageSetup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51"/>
  <sheetViews>
    <sheetView workbookViewId="0"/>
  </sheetViews>
  <sheetFormatPr defaultColWidth="13.5703125" defaultRowHeight="15" x14ac:dyDescent="0.25"/>
  <cols>
    <col min="1" max="1" width="13.85546875" style="1" customWidth="1"/>
    <col min="2" max="2" width="9.28515625" style="1" customWidth="1"/>
    <col min="3" max="3" width="14.42578125" style="1" customWidth="1"/>
    <col min="4" max="4" width="13.5703125" style="1"/>
    <col min="5" max="5" width="48.28515625" style="1" customWidth="1"/>
    <col min="6" max="6" width="12.28515625" style="1" customWidth="1"/>
    <col min="7" max="9" width="13.5703125" style="1"/>
    <col min="10" max="10" width="55.7109375" style="1" customWidth="1"/>
    <col min="11" max="16384" width="13.5703125" style="1"/>
  </cols>
  <sheetData>
    <row r="1" spans="1:5" x14ac:dyDescent="0.25">
      <c r="A1" s="102" t="s">
        <v>1531</v>
      </c>
      <c r="B1" s="103" t="s">
        <v>1532</v>
      </c>
      <c r="C1" s="103" t="s">
        <v>1533</v>
      </c>
      <c r="D1" s="103" t="s">
        <v>1534</v>
      </c>
      <c r="E1" s="104" t="s">
        <v>718</v>
      </c>
    </row>
    <row r="2" spans="1:5" x14ac:dyDescent="0.25">
      <c r="A2" s="13" t="s">
        <v>1535</v>
      </c>
      <c r="B2" s="101" t="s">
        <v>1571</v>
      </c>
      <c r="C2" s="101" t="s">
        <v>1553</v>
      </c>
      <c r="D2" s="101" t="s">
        <v>1708</v>
      </c>
      <c r="E2" s="16" t="s">
        <v>1574</v>
      </c>
    </row>
    <row r="3" spans="1:5" x14ac:dyDescent="0.25">
      <c r="A3" s="13" t="s">
        <v>1536</v>
      </c>
      <c r="B3" s="101" t="s">
        <v>1572</v>
      </c>
      <c r="C3" s="101" t="s">
        <v>1554</v>
      </c>
      <c r="D3" s="101" t="s">
        <v>1180</v>
      </c>
      <c r="E3" s="16" t="s">
        <v>1575</v>
      </c>
    </row>
    <row r="4" spans="1:5" x14ac:dyDescent="0.25">
      <c r="A4" s="13"/>
      <c r="B4" s="101" t="s">
        <v>1572</v>
      </c>
      <c r="C4" s="101" t="s">
        <v>1568</v>
      </c>
      <c r="D4" s="101" t="s">
        <v>1180</v>
      </c>
      <c r="E4" s="16" t="s">
        <v>1576</v>
      </c>
    </row>
    <row r="5" spans="1:5" x14ac:dyDescent="0.25">
      <c r="A5" s="13" t="s">
        <v>1537</v>
      </c>
      <c r="B5" s="101" t="s">
        <v>1571</v>
      </c>
      <c r="C5" s="101" t="s">
        <v>1555</v>
      </c>
      <c r="D5" s="101" t="s">
        <v>1687</v>
      </c>
      <c r="E5" s="16" t="s">
        <v>1577</v>
      </c>
    </row>
    <row r="6" spans="1:5" x14ac:dyDescent="0.25">
      <c r="A6" s="13" t="s">
        <v>1538</v>
      </c>
      <c r="B6" s="101" t="s">
        <v>1571</v>
      </c>
      <c r="C6" s="101" t="s">
        <v>1556</v>
      </c>
      <c r="D6" s="101" t="s">
        <v>1688</v>
      </c>
      <c r="E6" s="16" t="s">
        <v>1578</v>
      </c>
    </row>
    <row r="7" spans="1:5" x14ac:dyDescent="0.25">
      <c r="A7" s="13" t="s">
        <v>1539</v>
      </c>
      <c r="B7" s="101" t="s">
        <v>1571</v>
      </c>
      <c r="C7" s="101" t="s">
        <v>1557</v>
      </c>
      <c r="D7" s="101" t="s">
        <v>1689</v>
      </c>
      <c r="E7" s="16" t="s">
        <v>1579</v>
      </c>
    </row>
    <row r="8" spans="1:5" x14ac:dyDescent="0.25">
      <c r="A8" s="13" t="s">
        <v>1540</v>
      </c>
      <c r="B8" s="101" t="s">
        <v>1571</v>
      </c>
      <c r="C8" s="101" t="s">
        <v>1558</v>
      </c>
      <c r="D8" s="101" t="s">
        <v>1690</v>
      </c>
      <c r="E8" s="16" t="s">
        <v>1580</v>
      </c>
    </row>
    <row r="9" spans="1:5" x14ac:dyDescent="0.25">
      <c r="A9" s="13"/>
      <c r="B9" s="101" t="s">
        <v>1572</v>
      </c>
      <c r="C9" s="101" t="s">
        <v>1569</v>
      </c>
      <c r="D9" s="101" t="s">
        <v>1180</v>
      </c>
      <c r="E9" s="16" t="s">
        <v>1576</v>
      </c>
    </row>
    <row r="10" spans="1:5" x14ac:dyDescent="0.25">
      <c r="A10" s="13" t="s">
        <v>1541</v>
      </c>
      <c r="B10" s="101" t="s">
        <v>1571</v>
      </c>
      <c r="C10" s="101" t="s">
        <v>1559</v>
      </c>
      <c r="D10" s="101" t="s">
        <v>1180</v>
      </c>
      <c r="E10" s="16" t="s">
        <v>1581</v>
      </c>
    </row>
    <row r="11" spans="1:5" x14ac:dyDescent="0.25">
      <c r="A11" s="13" t="s">
        <v>1542</v>
      </c>
      <c r="B11" s="101" t="s">
        <v>1571</v>
      </c>
      <c r="C11" s="101" t="s">
        <v>1560</v>
      </c>
      <c r="D11" s="101" t="s">
        <v>1180</v>
      </c>
      <c r="E11" s="16" t="s">
        <v>1582</v>
      </c>
    </row>
    <row r="12" spans="1:5" x14ac:dyDescent="0.25">
      <c r="A12" s="13" t="s">
        <v>1695</v>
      </c>
      <c r="B12" s="101" t="s">
        <v>1571</v>
      </c>
      <c r="C12" s="101" t="s">
        <v>1561</v>
      </c>
      <c r="D12" s="101" t="s">
        <v>1180</v>
      </c>
      <c r="E12" s="16" t="s">
        <v>1691</v>
      </c>
    </row>
    <row r="13" spans="1:5" x14ac:dyDescent="0.25">
      <c r="A13" s="13"/>
      <c r="B13" s="101" t="s">
        <v>1572</v>
      </c>
      <c r="C13" s="101" t="s">
        <v>1692</v>
      </c>
      <c r="D13" s="101" t="s">
        <v>1180</v>
      </c>
      <c r="E13" s="16" t="s">
        <v>1576</v>
      </c>
    </row>
    <row r="14" spans="1:5" x14ac:dyDescent="0.25">
      <c r="A14" s="13" t="s">
        <v>1543</v>
      </c>
      <c r="B14" s="101" t="s">
        <v>1571</v>
      </c>
      <c r="C14" s="101" t="s">
        <v>1693</v>
      </c>
      <c r="D14" s="101" t="s">
        <v>1180</v>
      </c>
      <c r="E14" s="16" t="s">
        <v>1675</v>
      </c>
    </row>
    <row r="15" spans="1:5" x14ac:dyDescent="0.25">
      <c r="A15" s="13"/>
      <c r="B15" s="101" t="s">
        <v>1572</v>
      </c>
      <c r="C15" s="101" t="s">
        <v>1694</v>
      </c>
      <c r="D15" s="101" t="s">
        <v>1180</v>
      </c>
      <c r="E15" s="16" t="s">
        <v>1576</v>
      </c>
    </row>
    <row r="16" spans="1:5" x14ac:dyDescent="0.25">
      <c r="A16" s="13" t="s">
        <v>1544</v>
      </c>
      <c r="B16" s="101" t="s">
        <v>1573</v>
      </c>
      <c r="C16" s="101" t="s">
        <v>1562</v>
      </c>
      <c r="D16" s="101" t="s">
        <v>1180</v>
      </c>
      <c r="E16" s="16" t="s">
        <v>1583</v>
      </c>
    </row>
    <row r="17" spans="1:10" x14ac:dyDescent="0.25">
      <c r="A17" s="13" t="s">
        <v>1545</v>
      </c>
      <c r="B17" s="101" t="s">
        <v>1573</v>
      </c>
      <c r="C17" s="101" t="s">
        <v>1563</v>
      </c>
      <c r="D17" s="101" t="s">
        <v>1180</v>
      </c>
      <c r="E17" s="16" t="s">
        <v>1584</v>
      </c>
    </row>
    <row r="18" spans="1:10" x14ac:dyDescent="0.25">
      <c r="A18" s="13"/>
      <c r="B18" s="101" t="s">
        <v>1572</v>
      </c>
      <c r="C18" s="101" t="s">
        <v>1570</v>
      </c>
      <c r="D18" s="101" t="s">
        <v>1180</v>
      </c>
      <c r="E18" s="16" t="s">
        <v>1576</v>
      </c>
    </row>
    <row r="19" spans="1:10" x14ac:dyDescent="0.25">
      <c r="A19" s="13" t="s">
        <v>1546</v>
      </c>
      <c r="B19" s="101" t="s">
        <v>1573</v>
      </c>
      <c r="C19" s="101" t="s">
        <v>1564</v>
      </c>
      <c r="D19" s="101" t="s">
        <v>1180</v>
      </c>
      <c r="E19" s="16" t="s">
        <v>1585</v>
      </c>
    </row>
    <row r="20" spans="1:10" x14ac:dyDescent="0.25">
      <c r="A20" s="13" t="s">
        <v>1547</v>
      </c>
      <c r="B20" s="101" t="s">
        <v>1573</v>
      </c>
      <c r="C20" s="101" t="s">
        <v>1565</v>
      </c>
      <c r="D20" s="101" t="s">
        <v>1180</v>
      </c>
      <c r="E20" s="16" t="s">
        <v>1586</v>
      </c>
    </row>
    <row r="21" spans="1:10" x14ac:dyDescent="0.25">
      <c r="A21" s="13" t="s">
        <v>1548</v>
      </c>
      <c r="B21" s="101" t="s">
        <v>1572</v>
      </c>
      <c r="C21" s="101" t="s">
        <v>1566</v>
      </c>
      <c r="D21" s="101" t="s">
        <v>1180</v>
      </c>
      <c r="E21" s="16" t="s">
        <v>1587</v>
      </c>
    </row>
    <row r="22" spans="1:10" x14ac:dyDescent="0.25">
      <c r="A22" s="13"/>
      <c r="B22" s="101" t="s">
        <v>1572</v>
      </c>
      <c r="C22" s="101" t="s">
        <v>1596</v>
      </c>
      <c r="D22" s="101" t="s">
        <v>1180</v>
      </c>
      <c r="E22" s="16" t="s">
        <v>1576</v>
      </c>
    </row>
    <row r="23" spans="1:10" x14ac:dyDescent="0.25">
      <c r="A23" s="13" t="s">
        <v>1549</v>
      </c>
      <c r="B23" s="101" t="s">
        <v>1573</v>
      </c>
      <c r="C23" s="101" t="s">
        <v>1592</v>
      </c>
      <c r="D23" s="101" t="s">
        <v>1180</v>
      </c>
      <c r="E23" s="16" t="s">
        <v>1590</v>
      </c>
    </row>
    <row r="24" spans="1:10" x14ac:dyDescent="0.25">
      <c r="A24" s="13" t="s">
        <v>1550</v>
      </c>
      <c r="B24" s="101" t="s">
        <v>1573</v>
      </c>
      <c r="C24" s="101" t="s">
        <v>1593</v>
      </c>
      <c r="D24" s="101" t="s">
        <v>1180</v>
      </c>
      <c r="E24" s="16" t="s">
        <v>1589</v>
      </c>
    </row>
    <row r="25" spans="1:10" x14ac:dyDescent="0.25">
      <c r="A25" s="13" t="s">
        <v>1551</v>
      </c>
      <c r="B25" s="101" t="s">
        <v>1572</v>
      </c>
      <c r="C25" s="101" t="s">
        <v>1594</v>
      </c>
      <c r="D25" s="101" t="s">
        <v>1180</v>
      </c>
      <c r="E25" s="16" t="s">
        <v>1588</v>
      </c>
    </row>
    <row r="26" spans="1:10" x14ac:dyDescent="0.25">
      <c r="A26" s="13"/>
      <c r="B26" s="101" t="s">
        <v>1572</v>
      </c>
      <c r="C26" s="101" t="s">
        <v>1595</v>
      </c>
      <c r="D26" s="101" t="s">
        <v>1180</v>
      </c>
      <c r="E26" s="16" t="s">
        <v>1576</v>
      </c>
    </row>
    <row r="27" spans="1:10" ht="15.75" thickBot="1" x14ac:dyDescent="0.3">
      <c r="A27" s="14" t="s">
        <v>1552</v>
      </c>
      <c r="B27" s="105" t="s">
        <v>1572</v>
      </c>
      <c r="C27" s="105" t="s">
        <v>1567</v>
      </c>
      <c r="D27" s="105" t="s">
        <v>1673</v>
      </c>
      <c r="E27" s="18" t="s">
        <v>1591</v>
      </c>
    </row>
    <row r="28" spans="1:10" ht="15.75" thickBot="1" x14ac:dyDescent="0.3"/>
    <row r="29" spans="1:10" x14ac:dyDescent="0.25">
      <c r="G29" s="200" t="s">
        <v>1535</v>
      </c>
      <c r="H29" s="201"/>
      <c r="I29" s="201"/>
      <c r="J29" s="202"/>
    </row>
    <row r="30" spans="1:10" x14ac:dyDescent="0.25">
      <c r="G30" s="107" t="s">
        <v>1597</v>
      </c>
      <c r="H30" s="100" t="s">
        <v>1598</v>
      </c>
      <c r="I30" s="100" t="s">
        <v>1599</v>
      </c>
      <c r="J30" s="108" t="s">
        <v>718</v>
      </c>
    </row>
    <row r="31" spans="1:10" x14ac:dyDescent="0.25">
      <c r="G31" s="13" t="s">
        <v>1600</v>
      </c>
      <c r="H31" s="106">
        <v>0</v>
      </c>
      <c r="I31" s="101">
        <v>1</v>
      </c>
      <c r="J31" s="16" t="s">
        <v>1612</v>
      </c>
    </row>
    <row r="32" spans="1:10" x14ac:dyDescent="0.25">
      <c r="G32" s="13" t="s">
        <v>1601</v>
      </c>
      <c r="H32" s="106">
        <v>1</v>
      </c>
      <c r="I32" s="101">
        <v>0</v>
      </c>
      <c r="J32" s="16" t="s">
        <v>1613</v>
      </c>
    </row>
    <row r="33" spans="7:10" x14ac:dyDescent="0.25">
      <c r="G33" s="13" t="s">
        <v>1602</v>
      </c>
      <c r="H33" s="106" t="s">
        <v>1614</v>
      </c>
      <c r="I33" s="101">
        <v>0</v>
      </c>
      <c r="J33" s="16" t="s">
        <v>1616</v>
      </c>
    </row>
    <row r="34" spans="7:10" x14ac:dyDescent="0.25">
      <c r="G34" s="13" t="s">
        <v>1603</v>
      </c>
      <c r="H34" s="106" t="s">
        <v>1615</v>
      </c>
      <c r="I34" s="101">
        <v>0</v>
      </c>
      <c r="J34" s="16" t="s">
        <v>1617</v>
      </c>
    </row>
    <row r="35" spans="7:10" x14ac:dyDescent="0.25">
      <c r="G35" s="13" t="s">
        <v>1604</v>
      </c>
      <c r="H35" s="106" t="s">
        <v>1609</v>
      </c>
      <c r="I35" s="101">
        <v>0</v>
      </c>
      <c r="J35" s="16" t="s">
        <v>1618</v>
      </c>
    </row>
    <row r="36" spans="7:10" x14ac:dyDescent="0.25">
      <c r="G36" s="13" t="s">
        <v>1605</v>
      </c>
      <c r="H36" s="106" t="s">
        <v>1610</v>
      </c>
      <c r="I36" s="101">
        <v>1</v>
      </c>
      <c r="J36" s="16" t="s">
        <v>1619</v>
      </c>
    </row>
    <row r="37" spans="7:10" x14ac:dyDescent="0.25">
      <c r="G37" s="13" t="s">
        <v>1606</v>
      </c>
      <c r="H37" s="106" t="s">
        <v>1611</v>
      </c>
      <c r="I37" s="101">
        <v>1</v>
      </c>
      <c r="J37" s="16" t="s">
        <v>1620</v>
      </c>
    </row>
    <row r="38" spans="7:10" x14ac:dyDescent="0.25">
      <c r="G38" s="13" t="s">
        <v>1702</v>
      </c>
      <c r="H38" s="106" t="s">
        <v>1676</v>
      </c>
      <c r="I38" s="101">
        <v>0</v>
      </c>
      <c r="J38" s="16" t="s">
        <v>1704</v>
      </c>
    </row>
    <row r="39" spans="7:10" x14ac:dyDescent="0.25">
      <c r="G39" s="13" t="s">
        <v>1703</v>
      </c>
      <c r="H39" s="106" t="s">
        <v>1699</v>
      </c>
      <c r="I39" s="101">
        <v>0</v>
      </c>
      <c r="J39" s="16" t="s">
        <v>1705</v>
      </c>
    </row>
    <row r="40" spans="7:10" x14ac:dyDescent="0.25">
      <c r="G40" s="13"/>
      <c r="H40" s="106" t="s">
        <v>1707</v>
      </c>
      <c r="I40" s="101">
        <v>0</v>
      </c>
      <c r="J40" s="16" t="s">
        <v>1576</v>
      </c>
    </row>
    <row r="41" spans="7:10" x14ac:dyDescent="0.25">
      <c r="G41" s="13" t="s">
        <v>1607</v>
      </c>
      <c r="H41" s="106" t="s">
        <v>1677</v>
      </c>
      <c r="I41" s="101">
        <v>0</v>
      </c>
      <c r="J41" s="16" t="s">
        <v>1622</v>
      </c>
    </row>
    <row r="42" spans="7:10" ht="15.75" thickBot="1" x14ac:dyDescent="0.3">
      <c r="G42" s="14" t="s">
        <v>1608</v>
      </c>
      <c r="H42" s="109" t="s">
        <v>1706</v>
      </c>
      <c r="I42" s="105">
        <v>1</v>
      </c>
      <c r="J42" s="18" t="s">
        <v>1621</v>
      </c>
    </row>
    <row r="43" spans="7:10" ht="15.75" thickBot="1" x14ac:dyDescent="0.3"/>
    <row r="44" spans="7:10" x14ac:dyDescent="0.25">
      <c r="G44" s="200" t="s">
        <v>1536</v>
      </c>
      <c r="H44" s="201"/>
      <c r="I44" s="201"/>
      <c r="J44" s="202"/>
    </row>
    <row r="45" spans="7:10" x14ac:dyDescent="0.25">
      <c r="G45" s="107" t="s">
        <v>1597</v>
      </c>
      <c r="H45" s="100" t="s">
        <v>1598</v>
      </c>
      <c r="I45" s="100" t="s">
        <v>1599</v>
      </c>
      <c r="J45" s="108" t="s">
        <v>718</v>
      </c>
    </row>
    <row r="46" spans="7:10" x14ac:dyDescent="0.25">
      <c r="G46" s="13" t="s">
        <v>1623</v>
      </c>
      <c r="H46" s="106">
        <v>0</v>
      </c>
      <c r="I46" s="101">
        <v>0</v>
      </c>
      <c r="J46" s="16" t="s">
        <v>1628</v>
      </c>
    </row>
    <row r="47" spans="7:10" x14ac:dyDescent="0.25">
      <c r="G47" s="13" t="s">
        <v>1624</v>
      </c>
      <c r="H47" s="106">
        <v>1</v>
      </c>
      <c r="I47" s="101">
        <v>0</v>
      </c>
      <c r="J47" s="16" t="s">
        <v>1629</v>
      </c>
    </row>
    <row r="48" spans="7:10" x14ac:dyDescent="0.25">
      <c r="G48" s="13" t="s">
        <v>1625</v>
      </c>
      <c r="H48" s="106" t="s">
        <v>1614</v>
      </c>
      <c r="I48" s="101">
        <v>0</v>
      </c>
      <c r="J48" s="16" t="s">
        <v>1630</v>
      </c>
    </row>
    <row r="49" spans="7:10" ht="15.75" thickBot="1" x14ac:dyDescent="0.3">
      <c r="G49" s="14" t="s">
        <v>1626</v>
      </c>
      <c r="H49" s="109" t="s">
        <v>1701</v>
      </c>
      <c r="I49" s="105">
        <v>0</v>
      </c>
      <c r="J49" s="18" t="s">
        <v>1631</v>
      </c>
    </row>
    <row r="50" spans="7:10" ht="15.75" thickBot="1" x14ac:dyDescent="0.3"/>
    <row r="51" spans="7:10" x14ac:dyDescent="0.25">
      <c r="G51" s="200" t="s">
        <v>1537</v>
      </c>
      <c r="H51" s="201"/>
      <c r="I51" s="201"/>
      <c r="J51" s="202"/>
    </row>
    <row r="52" spans="7:10" x14ac:dyDescent="0.25">
      <c r="G52" s="107" t="s">
        <v>1597</v>
      </c>
      <c r="H52" s="100" t="s">
        <v>1598</v>
      </c>
      <c r="I52" s="100" t="s">
        <v>1599</v>
      </c>
      <c r="J52" s="108" t="s">
        <v>718</v>
      </c>
    </row>
    <row r="53" spans="7:10" x14ac:dyDescent="0.25">
      <c r="G53" s="13" t="s">
        <v>1632</v>
      </c>
      <c r="H53" s="106" t="s">
        <v>1678</v>
      </c>
      <c r="I53" s="101">
        <v>524</v>
      </c>
      <c r="J53" s="16" t="s">
        <v>1634</v>
      </c>
    </row>
    <row r="54" spans="7:10" ht="15.75" thickBot="1" x14ac:dyDescent="0.3">
      <c r="G54" s="14" t="s">
        <v>1633</v>
      </c>
      <c r="H54" s="109" t="s">
        <v>1679</v>
      </c>
      <c r="I54" s="105">
        <v>799</v>
      </c>
      <c r="J54" s="18" t="s">
        <v>1635</v>
      </c>
    </row>
    <row r="55" spans="7:10" ht="15.75" thickBot="1" x14ac:dyDescent="0.3"/>
    <row r="56" spans="7:10" x14ac:dyDescent="0.25">
      <c r="G56" s="200" t="s">
        <v>1538</v>
      </c>
      <c r="H56" s="201"/>
      <c r="I56" s="201"/>
      <c r="J56" s="202"/>
    </row>
    <row r="57" spans="7:10" x14ac:dyDescent="0.25">
      <c r="G57" s="107" t="s">
        <v>1597</v>
      </c>
      <c r="H57" s="100" t="s">
        <v>1598</v>
      </c>
      <c r="I57" s="100" t="s">
        <v>1599</v>
      </c>
      <c r="J57" s="108" t="s">
        <v>718</v>
      </c>
    </row>
    <row r="58" spans="7:10" x14ac:dyDescent="0.25">
      <c r="G58" s="13" t="s">
        <v>1637</v>
      </c>
      <c r="H58" s="106" t="s">
        <v>1678</v>
      </c>
      <c r="I58" s="101">
        <v>111</v>
      </c>
      <c r="J58" s="16" t="s">
        <v>1639</v>
      </c>
    </row>
    <row r="59" spans="7:10" ht="15.75" thickBot="1" x14ac:dyDescent="0.3">
      <c r="G59" s="14" t="s">
        <v>1636</v>
      </c>
      <c r="H59" s="109" t="s">
        <v>1679</v>
      </c>
      <c r="I59" s="105">
        <v>15</v>
      </c>
      <c r="J59" s="18" t="s">
        <v>1638</v>
      </c>
    </row>
    <row r="60" spans="7:10" ht="15.75" thickBot="1" x14ac:dyDescent="0.3"/>
    <row r="61" spans="7:10" x14ac:dyDescent="0.25">
      <c r="G61" s="200" t="s">
        <v>1539</v>
      </c>
      <c r="H61" s="201"/>
      <c r="I61" s="201"/>
      <c r="J61" s="202"/>
    </row>
    <row r="62" spans="7:10" x14ac:dyDescent="0.25">
      <c r="G62" s="107" t="s">
        <v>1597</v>
      </c>
      <c r="H62" s="100" t="s">
        <v>1598</v>
      </c>
      <c r="I62" s="100" t="s">
        <v>1599</v>
      </c>
      <c r="J62" s="108" t="s">
        <v>718</v>
      </c>
    </row>
    <row r="63" spans="7:10" x14ac:dyDescent="0.25">
      <c r="G63" s="13" t="s">
        <v>1637</v>
      </c>
      <c r="H63" s="106" t="s">
        <v>1678</v>
      </c>
      <c r="I63" s="101">
        <v>11</v>
      </c>
      <c r="J63" s="16" t="s">
        <v>1674</v>
      </c>
    </row>
    <row r="64" spans="7:10" ht="15.75" thickBot="1" x14ac:dyDescent="0.3">
      <c r="G64" s="14" t="s">
        <v>1636</v>
      </c>
      <c r="H64" s="109" t="s">
        <v>1679</v>
      </c>
      <c r="I64" s="105">
        <v>9</v>
      </c>
      <c r="J64" s="18" t="s">
        <v>1640</v>
      </c>
    </row>
    <row r="65" spans="7:10" ht="15.75" thickBot="1" x14ac:dyDescent="0.3"/>
    <row r="66" spans="7:10" x14ac:dyDescent="0.25">
      <c r="G66" s="200" t="s">
        <v>1540</v>
      </c>
      <c r="H66" s="201"/>
      <c r="I66" s="201"/>
      <c r="J66" s="202"/>
    </row>
    <row r="67" spans="7:10" x14ac:dyDescent="0.25">
      <c r="G67" s="107" t="s">
        <v>1597</v>
      </c>
      <c r="H67" s="100" t="s">
        <v>1598</v>
      </c>
      <c r="I67" s="100" t="s">
        <v>1599</v>
      </c>
      <c r="J67" s="108" t="s">
        <v>718</v>
      </c>
    </row>
    <row r="68" spans="7:10" x14ac:dyDescent="0.25">
      <c r="G68" s="13" t="s">
        <v>1642</v>
      </c>
      <c r="H68" s="106" t="s">
        <v>1678</v>
      </c>
      <c r="I68" s="101">
        <v>54</v>
      </c>
      <c r="J68" s="16" t="s">
        <v>1644</v>
      </c>
    </row>
    <row r="69" spans="7:10" ht="15.75" thickBot="1" x14ac:dyDescent="0.3">
      <c r="G69" s="14" t="s">
        <v>1641</v>
      </c>
      <c r="H69" s="109" t="s">
        <v>1679</v>
      </c>
      <c r="I69" s="105">
        <v>159</v>
      </c>
      <c r="J69" s="18" t="s">
        <v>1643</v>
      </c>
    </row>
    <row r="70" spans="7:10" ht="15.75" thickBot="1" x14ac:dyDescent="0.3"/>
    <row r="71" spans="7:10" x14ac:dyDescent="0.25">
      <c r="G71" s="200" t="s">
        <v>1541</v>
      </c>
      <c r="H71" s="201"/>
      <c r="I71" s="201"/>
      <c r="J71" s="202"/>
    </row>
    <row r="72" spans="7:10" x14ac:dyDescent="0.25">
      <c r="G72" s="107" t="s">
        <v>1597</v>
      </c>
      <c r="H72" s="100" t="s">
        <v>1598</v>
      </c>
      <c r="I72" s="100" t="s">
        <v>1599</v>
      </c>
      <c r="J72" s="108" t="s">
        <v>718</v>
      </c>
    </row>
    <row r="73" spans="7:10" ht="30.75" thickBot="1" x14ac:dyDescent="0.3">
      <c r="G73" s="14" t="s">
        <v>1645</v>
      </c>
      <c r="H73" s="109" t="s">
        <v>1646</v>
      </c>
      <c r="I73" s="105">
        <v>0</v>
      </c>
      <c r="J73" s="18" t="s">
        <v>1647</v>
      </c>
    </row>
    <row r="74" spans="7:10" ht="15.75" thickBot="1" x14ac:dyDescent="0.3"/>
    <row r="75" spans="7:10" x14ac:dyDescent="0.25">
      <c r="G75" s="200" t="s">
        <v>1542</v>
      </c>
      <c r="H75" s="201"/>
      <c r="I75" s="201"/>
      <c r="J75" s="202"/>
    </row>
    <row r="76" spans="7:10" x14ac:dyDescent="0.25">
      <c r="G76" s="107" t="s">
        <v>1597</v>
      </c>
      <c r="H76" s="100" t="s">
        <v>1598</v>
      </c>
      <c r="I76" s="100" t="s">
        <v>1599</v>
      </c>
      <c r="J76" s="108" t="s">
        <v>718</v>
      </c>
    </row>
    <row r="77" spans="7:10" ht="30.75" thickBot="1" x14ac:dyDescent="0.3">
      <c r="G77" s="14" t="s">
        <v>1645</v>
      </c>
      <c r="H77" s="109" t="s">
        <v>1646</v>
      </c>
      <c r="I77" s="105">
        <v>0</v>
      </c>
      <c r="J77" s="18" t="s">
        <v>1648</v>
      </c>
    </row>
    <row r="78" spans="7:10" ht="15.75" thickBot="1" x14ac:dyDescent="0.3"/>
    <row r="79" spans="7:10" x14ac:dyDescent="0.25">
      <c r="G79" s="200" t="s">
        <v>1695</v>
      </c>
      <c r="H79" s="201"/>
      <c r="I79" s="201"/>
      <c r="J79" s="202"/>
    </row>
    <row r="80" spans="7:10" x14ac:dyDescent="0.25">
      <c r="G80" s="107" t="s">
        <v>1597</v>
      </c>
      <c r="H80" s="100" t="s">
        <v>1598</v>
      </c>
      <c r="I80" s="100" t="s">
        <v>1599</v>
      </c>
      <c r="J80" s="108" t="s">
        <v>718</v>
      </c>
    </row>
    <row r="81" spans="7:10" ht="30.75" thickBot="1" x14ac:dyDescent="0.3">
      <c r="G81" s="14" t="s">
        <v>1645</v>
      </c>
      <c r="H81" s="109" t="s">
        <v>1646</v>
      </c>
      <c r="I81" s="105">
        <v>0</v>
      </c>
      <c r="J81" s="18" t="s">
        <v>1696</v>
      </c>
    </row>
    <row r="82" spans="7:10" ht="15.75" thickBot="1" x14ac:dyDescent="0.3"/>
    <row r="83" spans="7:10" x14ac:dyDescent="0.25">
      <c r="G83" s="200" t="s">
        <v>1543</v>
      </c>
      <c r="H83" s="201"/>
      <c r="I83" s="201"/>
      <c r="J83" s="202"/>
    </row>
    <row r="84" spans="7:10" x14ac:dyDescent="0.25">
      <c r="G84" s="107" t="s">
        <v>1597</v>
      </c>
      <c r="H84" s="100" t="s">
        <v>1598</v>
      </c>
      <c r="I84" s="100" t="s">
        <v>1599</v>
      </c>
      <c r="J84" s="108" t="s">
        <v>718</v>
      </c>
    </row>
    <row r="85" spans="7:10" ht="30.75" thickBot="1" x14ac:dyDescent="0.3">
      <c r="G85" s="14" t="s">
        <v>1649</v>
      </c>
      <c r="H85" s="109" t="s">
        <v>1646</v>
      </c>
      <c r="I85" s="105">
        <v>0</v>
      </c>
      <c r="J85" s="18" t="s">
        <v>1653</v>
      </c>
    </row>
    <row r="86" spans="7:10" ht="15.75" thickBot="1" x14ac:dyDescent="0.3"/>
    <row r="87" spans="7:10" x14ac:dyDescent="0.25">
      <c r="G87" s="200" t="s">
        <v>1544</v>
      </c>
      <c r="H87" s="201"/>
      <c r="I87" s="201"/>
      <c r="J87" s="202"/>
    </row>
    <row r="88" spans="7:10" x14ac:dyDescent="0.25">
      <c r="G88" s="107" t="s">
        <v>1597</v>
      </c>
      <c r="H88" s="100" t="s">
        <v>1598</v>
      </c>
      <c r="I88" s="100" t="s">
        <v>1599</v>
      </c>
      <c r="J88" s="108" t="s">
        <v>718</v>
      </c>
    </row>
    <row r="89" spans="7:10" ht="15.75" thickBot="1" x14ac:dyDescent="0.3">
      <c r="G89" s="14" t="s">
        <v>1650</v>
      </c>
      <c r="H89" s="109" t="s">
        <v>1697</v>
      </c>
      <c r="I89" s="105">
        <v>0</v>
      </c>
      <c r="J89" s="18" t="s">
        <v>1652</v>
      </c>
    </row>
    <row r="90" spans="7:10" ht="15.75" thickBot="1" x14ac:dyDescent="0.3"/>
    <row r="91" spans="7:10" x14ac:dyDescent="0.25">
      <c r="G91" s="200" t="s">
        <v>1545</v>
      </c>
      <c r="H91" s="201"/>
      <c r="I91" s="201"/>
      <c r="J91" s="202"/>
    </row>
    <row r="92" spans="7:10" x14ac:dyDescent="0.25">
      <c r="G92" s="107" t="s">
        <v>1597</v>
      </c>
      <c r="H92" s="100" t="s">
        <v>1598</v>
      </c>
      <c r="I92" s="100" t="s">
        <v>1599</v>
      </c>
      <c r="J92" s="108" t="s">
        <v>718</v>
      </c>
    </row>
    <row r="93" spans="7:10" ht="15.75" thickBot="1" x14ac:dyDescent="0.3">
      <c r="G93" s="14" t="s">
        <v>1680</v>
      </c>
      <c r="H93" s="109" t="s">
        <v>1697</v>
      </c>
      <c r="I93" s="105">
        <v>0</v>
      </c>
      <c r="J93" s="18" t="s">
        <v>1659</v>
      </c>
    </row>
    <row r="94" spans="7:10" ht="15.75" thickBot="1" x14ac:dyDescent="0.3"/>
    <row r="95" spans="7:10" x14ac:dyDescent="0.25">
      <c r="G95" s="200" t="s">
        <v>1546</v>
      </c>
      <c r="H95" s="201"/>
      <c r="I95" s="201"/>
      <c r="J95" s="202"/>
    </row>
    <row r="96" spans="7:10" x14ac:dyDescent="0.25">
      <c r="G96" s="107" t="s">
        <v>1597</v>
      </c>
      <c r="H96" s="100" t="s">
        <v>1598</v>
      </c>
      <c r="I96" s="100" t="s">
        <v>1599</v>
      </c>
      <c r="J96" s="108" t="s">
        <v>718</v>
      </c>
    </row>
    <row r="97" spans="7:10" x14ac:dyDescent="0.25">
      <c r="G97" s="13" t="s">
        <v>1657</v>
      </c>
      <c r="H97" s="106" t="s">
        <v>1697</v>
      </c>
      <c r="I97" s="101">
        <v>0</v>
      </c>
      <c r="J97" s="16" t="s">
        <v>1660</v>
      </c>
    </row>
    <row r="98" spans="7:10" x14ac:dyDescent="0.25">
      <c r="G98" s="13" t="s">
        <v>1681</v>
      </c>
      <c r="H98" s="106" t="s">
        <v>1615</v>
      </c>
      <c r="I98" s="101">
        <v>0</v>
      </c>
      <c r="J98" s="16" t="s">
        <v>1660</v>
      </c>
    </row>
    <row r="99" spans="7:10" x14ac:dyDescent="0.25">
      <c r="G99" s="13" t="s">
        <v>1658</v>
      </c>
      <c r="H99" s="106" t="s">
        <v>1698</v>
      </c>
      <c r="I99" s="101">
        <v>0</v>
      </c>
      <c r="J99" s="16" t="s">
        <v>1660</v>
      </c>
    </row>
    <row r="100" spans="7:10" x14ac:dyDescent="0.25">
      <c r="G100" s="13" t="s">
        <v>1656</v>
      </c>
      <c r="H100" s="106" t="s">
        <v>1676</v>
      </c>
      <c r="I100" s="101">
        <v>0</v>
      </c>
      <c r="J100" s="16" t="s">
        <v>1660</v>
      </c>
    </row>
    <row r="101" spans="7:10" x14ac:dyDescent="0.25">
      <c r="G101" s="13" t="s">
        <v>1655</v>
      </c>
      <c r="H101" s="106" t="s">
        <v>1699</v>
      </c>
      <c r="I101" s="101">
        <v>0</v>
      </c>
      <c r="J101" s="16" t="s">
        <v>1660</v>
      </c>
    </row>
    <row r="102" spans="7:10" ht="15.75" thickBot="1" x14ac:dyDescent="0.3">
      <c r="G102" s="14" t="s">
        <v>1654</v>
      </c>
      <c r="H102" s="109" t="s">
        <v>1700</v>
      </c>
      <c r="I102" s="105">
        <v>0</v>
      </c>
      <c r="J102" s="18" t="s">
        <v>1660</v>
      </c>
    </row>
    <row r="103" spans="7:10" ht="15.75" thickBot="1" x14ac:dyDescent="0.3"/>
    <row r="104" spans="7:10" x14ac:dyDescent="0.25">
      <c r="G104" s="200" t="s">
        <v>1547</v>
      </c>
      <c r="H104" s="201"/>
      <c r="I104" s="201"/>
      <c r="J104" s="202"/>
    </row>
    <row r="105" spans="7:10" x14ac:dyDescent="0.25">
      <c r="G105" s="107" t="s">
        <v>1597</v>
      </c>
      <c r="H105" s="100" t="s">
        <v>1598</v>
      </c>
      <c r="I105" s="100" t="s">
        <v>1599</v>
      </c>
      <c r="J105" s="108" t="s">
        <v>718</v>
      </c>
    </row>
    <row r="106" spans="7:10" x14ac:dyDescent="0.25">
      <c r="G106" s="13" t="s">
        <v>1657</v>
      </c>
      <c r="H106" s="106" t="s">
        <v>1697</v>
      </c>
      <c r="I106" s="101">
        <v>0</v>
      </c>
      <c r="J106" s="16" t="s">
        <v>1661</v>
      </c>
    </row>
    <row r="107" spans="7:10" x14ac:dyDescent="0.25">
      <c r="G107" s="13" t="s">
        <v>1681</v>
      </c>
      <c r="H107" s="106" t="s">
        <v>1615</v>
      </c>
      <c r="I107" s="101">
        <v>0</v>
      </c>
      <c r="J107" s="16" t="s">
        <v>1661</v>
      </c>
    </row>
    <row r="108" spans="7:10" x14ac:dyDescent="0.25">
      <c r="G108" s="13" t="s">
        <v>1658</v>
      </c>
      <c r="H108" s="106" t="s">
        <v>1698</v>
      </c>
      <c r="I108" s="101">
        <v>0</v>
      </c>
      <c r="J108" s="16" t="s">
        <v>1661</v>
      </c>
    </row>
    <row r="109" spans="7:10" x14ac:dyDescent="0.25">
      <c r="G109" s="13" t="s">
        <v>1656</v>
      </c>
      <c r="H109" s="106" t="s">
        <v>1676</v>
      </c>
      <c r="I109" s="101">
        <v>0</v>
      </c>
      <c r="J109" s="16" t="s">
        <v>1661</v>
      </c>
    </row>
    <row r="110" spans="7:10" x14ac:dyDescent="0.25">
      <c r="G110" s="13" t="s">
        <v>1655</v>
      </c>
      <c r="H110" s="106" t="s">
        <v>1699</v>
      </c>
      <c r="I110" s="101">
        <v>0</v>
      </c>
      <c r="J110" s="16" t="s">
        <v>1661</v>
      </c>
    </row>
    <row r="111" spans="7:10" ht="15.75" thickBot="1" x14ac:dyDescent="0.3">
      <c r="G111" s="14" t="s">
        <v>1654</v>
      </c>
      <c r="H111" s="109" t="s">
        <v>1700</v>
      </c>
      <c r="I111" s="105">
        <v>0</v>
      </c>
      <c r="J111" s="18" t="s">
        <v>1661</v>
      </c>
    </row>
    <row r="112" spans="7:10" ht="15.75" thickBot="1" x14ac:dyDescent="0.3"/>
    <row r="113" spans="7:10" x14ac:dyDescent="0.25">
      <c r="G113" s="200" t="s">
        <v>1548</v>
      </c>
      <c r="H113" s="201"/>
      <c r="I113" s="201"/>
      <c r="J113" s="202"/>
    </row>
    <row r="114" spans="7:10" x14ac:dyDescent="0.25">
      <c r="G114" s="107" t="s">
        <v>1597</v>
      </c>
      <c r="H114" s="100" t="s">
        <v>1598</v>
      </c>
      <c r="I114" s="100" t="s">
        <v>1599</v>
      </c>
      <c r="J114" s="108" t="s">
        <v>718</v>
      </c>
    </row>
    <row r="115" spans="7:10" x14ac:dyDescent="0.25">
      <c r="G115" s="13" t="s">
        <v>1657</v>
      </c>
      <c r="H115" s="106" t="s">
        <v>1697</v>
      </c>
      <c r="I115" s="101">
        <v>0</v>
      </c>
      <c r="J115" s="16" t="s">
        <v>1666</v>
      </c>
    </row>
    <row r="116" spans="7:10" x14ac:dyDescent="0.25">
      <c r="G116" s="13" t="s">
        <v>1681</v>
      </c>
      <c r="H116" s="106" t="s">
        <v>1615</v>
      </c>
      <c r="I116" s="101">
        <v>0</v>
      </c>
      <c r="J116" s="16" t="s">
        <v>1686</v>
      </c>
    </row>
    <row r="117" spans="7:10" x14ac:dyDescent="0.25">
      <c r="G117" s="13" t="s">
        <v>1658</v>
      </c>
      <c r="H117" s="106" t="s">
        <v>1698</v>
      </c>
      <c r="I117" s="101">
        <v>0</v>
      </c>
      <c r="J117" s="16" t="s">
        <v>1665</v>
      </c>
    </row>
    <row r="118" spans="7:10" x14ac:dyDescent="0.25">
      <c r="G118" s="13" t="s">
        <v>1656</v>
      </c>
      <c r="H118" s="106" t="s">
        <v>1676</v>
      </c>
      <c r="I118" s="101">
        <v>0</v>
      </c>
      <c r="J118" s="16" t="s">
        <v>1664</v>
      </c>
    </row>
    <row r="119" spans="7:10" x14ac:dyDescent="0.25">
      <c r="G119" s="13" t="s">
        <v>1655</v>
      </c>
      <c r="H119" s="106" t="s">
        <v>1699</v>
      </c>
      <c r="I119" s="101">
        <v>0</v>
      </c>
      <c r="J119" s="16" t="s">
        <v>1663</v>
      </c>
    </row>
    <row r="120" spans="7:10" ht="15.75" thickBot="1" x14ac:dyDescent="0.3">
      <c r="G120" s="14" t="s">
        <v>1654</v>
      </c>
      <c r="H120" s="109" t="s">
        <v>1700</v>
      </c>
      <c r="I120" s="105">
        <v>0</v>
      </c>
      <c r="J120" s="18" t="s">
        <v>1662</v>
      </c>
    </row>
    <row r="121" spans="7:10" ht="15.75" thickBot="1" x14ac:dyDescent="0.3"/>
    <row r="122" spans="7:10" x14ac:dyDescent="0.25">
      <c r="G122" s="200" t="s">
        <v>1549</v>
      </c>
      <c r="H122" s="201"/>
      <c r="I122" s="201"/>
      <c r="J122" s="202"/>
    </row>
    <row r="123" spans="7:10" x14ac:dyDescent="0.25">
      <c r="G123" s="107" t="s">
        <v>1597</v>
      </c>
      <c r="H123" s="100" t="s">
        <v>1598</v>
      </c>
      <c r="I123" s="100" t="s">
        <v>1599</v>
      </c>
      <c r="J123" s="108" t="s">
        <v>718</v>
      </c>
    </row>
    <row r="124" spans="7:10" x14ac:dyDescent="0.25">
      <c r="G124" s="13" t="s">
        <v>1657</v>
      </c>
      <c r="H124" s="106" t="s">
        <v>1697</v>
      </c>
      <c r="I124" s="101">
        <v>0</v>
      </c>
      <c r="J124" s="16" t="s">
        <v>1667</v>
      </c>
    </row>
    <row r="125" spans="7:10" x14ac:dyDescent="0.25">
      <c r="G125" s="13" t="s">
        <v>1681</v>
      </c>
      <c r="H125" s="106" t="s">
        <v>1615</v>
      </c>
      <c r="I125" s="101">
        <v>0</v>
      </c>
      <c r="J125" s="16" t="s">
        <v>1667</v>
      </c>
    </row>
    <row r="126" spans="7:10" x14ac:dyDescent="0.25">
      <c r="G126" s="13" t="s">
        <v>1658</v>
      </c>
      <c r="H126" s="106" t="s">
        <v>1698</v>
      </c>
      <c r="I126" s="101">
        <v>0</v>
      </c>
      <c r="J126" s="16" t="s">
        <v>1667</v>
      </c>
    </row>
    <row r="127" spans="7:10" x14ac:dyDescent="0.25">
      <c r="G127" s="13" t="s">
        <v>1656</v>
      </c>
      <c r="H127" s="106" t="s">
        <v>1676</v>
      </c>
      <c r="I127" s="101">
        <v>0</v>
      </c>
      <c r="J127" s="16" t="s">
        <v>1667</v>
      </c>
    </row>
    <row r="128" spans="7:10" x14ac:dyDescent="0.25">
      <c r="G128" s="13" t="s">
        <v>1655</v>
      </c>
      <c r="H128" s="106" t="s">
        <v>1699</v>
      </c>
      <c r="I128" s="101">
        <v>0</v>
      </c>
      <c r="J128" s="16" t="s">
        <v>1667</v>
      </c>
    </row>
    <row r="129" spans="7:10" ht="15.75" thickBot="1" x14ac:dyDescent="0.3">
      <c r="G129" s="14" t="s">
        <v>1654</v>
      </c>
      <c r="H129" s="109" t="s">
        <v>1700</v>
      </c>
      <c r="I129" s="105">
        <v>0</v>
      </c>
      <c r="J129" s="18" t="s">
        <v>1667</v>
      </c>
    </row>
    <row r="130" spans="7:10" ht="15.75" thickBot="1" x14ac:dyDescent="0.3"/>
    <row r="131" spans="7:10" x14ac:dyDescent="0.25">
      <c r="G131" s="200" t="s">
        <v>1550</v>
      </c>
      <c r="H131" s="201"/>
      <c r="I131" s="201"/>
      <c r="J131" s="202"/>
    </row>
    <row r="132" spans="7:10" x14ac:dyDescent="0.25">
      <c r="G132" s="107" t="s">
        <v>1597</v>
      </c>
      <c r="H132" s="100" t="s">
        <v>1598</v>
      </c>
      <c r="I132" s="100" t="s">
        <v>1599</v>
      </c>
      <c r="J132" s="108" t="s">
        <v>718</v>
      </c>
    </row>
    <row r="133" spans="7:10" x14ac:dyDescent="0.25">
      <c r="G133" s="13" t="s">
        <v>1657</v>
      </c>
      <c r="H133" s="106" t="s">
        <v>1651</v>
      </c>
      <c r="I133" s="101">
        <v>0</v>
      </c>
      <c r="J133" s="16" t="s">
        <v>1668</v>
      </c>
    </row>
    <row r="134" spans="7:10" x14ac:dyDescent="0.25">
      <c r="G134" s="13" t="s">
        <v>1681</v>
      </c>
      <c r="H134" s="106" t="s">
        <v>1614</v>
      </c>
      <c r="I134" s="101">
        <v>0</v>
      </c>
      <c r="J134" s="16" t="s">
        <v>1668</v>
      </c>
    </row>
    <row r="135" spans="7:10" x14ac:dyDescent="0.25">
      <c r="G135" s="13" t="s">
        <v>1658</v>
      </c>
      <c r="H135" s="106" t="s">
        <v>1627</v>
      </c>
      <c r="I135" s="101">
        <v>0</v>
      </c>
      <c r="J135" s="16" t="s">
        <v>1668</v>
      </c>
    </row>
    <row r="136" spans="7:10" x14ac:dyDescent="0.25">
      <c r="G136" s="13" t="s">
        <v>1656</v>
      </c>
      <c r="H136" s="106" t="s">
        <v>1610</v>
      </c>
      <c r="I136" s="101">
        <v>0</v>
      </c>
      <c r="J136" s="16" t="s">
        <v>1668</v>
      </c>
    </row>
    <row r="137" spans="7:10" x14ac:dyDescent="0.25">
      <c r="G137" s="13" t="s">
        <v>1655</v>
      </c>
      <c r="H137" s="106" t="s">
        <v>1611</v>
      </c>
      <c r="I137" s="101">
        <v>0</v>
      </c>
      <c r="J137" s="16" t="s">
        <v>1668</v>
      </c>
    </row>
    <row r="138" spans="7:10" ht="15.75" thickBot="1" x14ac:dyDescent="0.3">
      <c r="G138" s="14" t="s">
        <v>1654</v>
      </c>
      <c r="H138" s="109" t="s">
        <v>1676</v>
      </c>
      <c r="I138" s="105">
        <v>0</v>
      </c>
      <c r="J138" s="18" t="s">
        <v>1668</v>
      </c>
    </row>
    <row r="139" spans="7:10" ht="15.75" thickBot="1" x14ac:dyDescent="0.3"/>
    <row r="140" spans="7:10" x14ac:dyDescent="0.25">
      <c r="G140" s="200" t="s">
        <v>1551</v>
      </c>
      <c r="H140" s="201"/>
      <c r="I140" s="201"/>
      <c r="J140" s="202"/>
    </row>
    <row r="141" spans="7:10" x14ac:dyDescent="0.25">
      <c r="G141" s="107" t="s">
        <v>1597</v>
      </c>
      <c r="H141" s="100" t="s">
        <v>1598</v>
      </c>
      <c r="I141" s="100" t="s">
        <v>1599</v>
      </c>
      <c r="J141" s="108" t="s">
        <v>718</v>
      </c>
    </row>
    <row r="142" spans="7:10" ht="45" x14ac:dyDescent="0.25">
      <c r="G142" s="13" t="s">
        <v>1657</v>
      </c>
      <c r="H142" s="106" t="s">
        <v>1697</v>
      </c>
      <c r="I142" s="101">
        <v>0</v>
      </c>
      <c r="J142" s="16" t="s">
        <v>1685</v>
      </c>
    </row>
    <row r="143" spans="7:10" x14ac:dyDescent="0.25">
      <c r="G143" s="13" t="s">
        <v>1681</v>
      </c>
      <c r="H143" s="106" t="s">
        <v>1615</v>
      </c>
      <c r="I143" s="101">
        <v>0</v>
      </c>
      <c r="J143" s="16" t="s">
        <v>1683</v>
      </c>
    </row>
    <row r="144" spans="7:10" ht="45" x14ac:dyDescent="0.25">
      <c r="G144" s="13" t="s">
        <v>1658</v>
      </c>
      <c r="H144" s="106" t="s">
        <v>1698</v>
      </c>
      <c r="I144" s="101">
        <v>0</v>
      </c>
      <c r="J144" s="16" t="s">
        <v>1684</v>
      </c>
    </row>
    <row r="145" spans="7:10" x14ac:dyDescent="0.25">
      <c r="G145" s="13" t="s">
        <v>1656</v>
      </c>
      <c r="H145" s="106" t="s">
        <v>1676</v>
      </c>
      <c r="I145" s="101">
        <v>0</v>
      </c>
      <c r="J145" s="16" t="s">
        <v>1671</v>
      </c>
    </row>
    <row r="146" spans="7:10" x14ac:dyDescent="0.25">
      <c r="G146" s="13" t="s">
        <v>1655</v>
      </c>
      <c r="H146" s="106" t="s">
        <v>1699</v>
      </c>
      <c r="I146" s="101">
        <v>0</v>
      </c>
      <c r="J146" s="16" t="s">
        <v>1670</v>
      </c>
    </row>
    <row r="147" spans="7:10" ht="15.75" thickBot="1" x14ac:dyDescent="0.3">
      <c r="G147" s="14" t="s">
        <v>1654</v>
      </c>
      <c r="H147" s="109" t="s">
        <v>1700</v>
      </c>
      <c r="I147" s="105">
        <v>0</v>
      </c>
      <c r="J147" s="18" t="s">
        <v>1669</v>
      </c>
    </row>
    <row r="148" spans="7:10" ht="15.75" thickBot="1" x14ac:dyDescent="0.3"/>
    <row r="149" spans="7:10" x14ac:dyDescent="0.25">
      <c r="G149" s="200" t="s">
        <v>1552</v>
      </c>
      <c r="H149" s="201"/>
      <c r="I149" s="201"/>
      <c r="J149" s="202"/>
    </row>
    <row r="150" spans="7:10" x14ac:dyDescent="0.25">
      <c r="G150" s="107" t="s">
        <v>1597</v>
      </c>
      <c r="H150" s="100" t="s">
        <v>1598</v>
      </c>
      <c r="I150" s="100" t="s">
        <v>1599</v>
      </c>
      <c r="J150" s="108" t="s">
        <v>718</v>
      </c>
    </row>
    <row r="151" spans="7:10" x14ac:dyDescent="0.25">
      <c r="G151" s="13" t="s">
        <v>1682</v>
      </c>
      <c r="H151" s="106" t="s">
        <v>1646</v>
      </c>
      <c r="I151" s="101" t="s">
        <v>1673</v>
      </c>
      <c r="J151" s="16" t="s">
        <v>1672</v>
      </c>
    </row>
  </sheetData>
  <mergeCells count="19">
    <mergeCell ref="G66:J66"/>
    <mergeCell ref="G29:J29"/>
    <mergeCell ref="G44:J44"/>
    <mergeCell ref="G51:J51"/>
    <mergeCell ref="G56:J56"/>
    <mergeCell ref="G61:J61"/>
    <mergeCell ref="G149:J149"/>
    <mergeCell ref="G71:J71"/>
    <mergeCell ref="G75:J75"/>
    <mergeCell ref="G83:J83"/>
    <mergeCell ref="G87:J87"/>
    <mergeCell ref="G91:J91"/>
    <mergeCell ref="G95:J95"/>
    <mergeCell ref="G104:J104"/>
    <mergeCell ref="G113:J113"/>
    <mergeCell ref="G122:J122"/>
    <mergeCell ref="G131:J131"/>
    <mergeCell ref="G140:J140"/>
    <mergeCell ref="G79:J79"/>
  </mergeCells>
  <pageMargins left="0.7" right="0.7" top="0.75" bottom="0.75" header="0.3" footer="0.3"/>
  <pageSetup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29"/>
  <sheetViews>
    <sheetView workbookViewId="0"/>
  </sheetViews>
  <sheetFormatPr defaultRowHeight="15" x14ac:dyDescent="0.25"/>
  <cols>
    <col min="1" max="1" width="25.5703125" customWidth="1"/>
    <col min="2" max="2" width="16.140625" customWidth="1"/>
    <col min="3" max="3" width="46" customWidth="1"/>
    <col min="5" max="5" width="37.42578125" customWidth="1"/>
    <col min="6" max="6" width="16.140625" style="44" customWidth="1"/>
  </cols>
  <sheetData>
    <row r="1" spans="1:6" ht="31.5" x14ac:dyDescent="0.25">
      <c r="A1" s="25" t="s">
        <v>11</v>
      </c>
      <c r="B1" s="26" t="s">
        <v>85</v>
      </c>
      <c r="C1" s="27" t="s">
        <v>265</v>
      </c>
      <c r="E1" s="42" t="s">
        <v>349</v>
      </c>
      <c r="F1" s="43" t="s">
        <v>390</v>
      </c>
    </row>
    <row r="2" spans="1:6" x14ac:dyDescent="0.25">
      <c r="A2" s="13" t="s">
        <v>621</v>
      </c>
      <c r="B2" s="31">
        <v>16</v>
      </c>
      <c r="C2" s="16" t="s">
        <v>624</v>
      </c>
      <c r="D2" s="45"/>
      <c r="E2" s="33" t="s">
        <v>622</v>
      </c>
      <c r="F2" s="46">
        <v>16</v>
      </c>
    </row>
    <row r="3" spans="1:6" x14ac:dyDescent="0.25">
      <c r="A3" s="13" t="s">
        <v>623</v>
      </c>
      <c r="B3" s="31">
        <v>16</v>
      </c>
      <c r="C3" s="16" t="s">
        <v>625</v>
      </c>
      <c r="D3" s="45"/>
      <c r="E3" s="33" t="s">
        <v>626</v>
      </c>
      <c r="F3" s="46">
        <v>16</v>
      </c>
    </row>
    <row r="4" spans="1:6" x14ac:dyDescent="0.25">
      <c r="A4" s="13" t="s">
        <v>627</v>
      </c>
      <c r="B4" s="31">
        <v>1</v>
      </c>
      <c r="C4" s="16" t="s">
        <v>628</v>
      </c>
      <c r="D4" s="45"/>
      <c r="E4" s="33" t="s">
        <v>629</v>
      </c>
      <c r="F4" s="46">
        <v>1</v>
      </c>
    </row>
    <row r="5" spans="1:6" x14ac:dyDescent="0.25">
      <c r="A5" s="13" t="s">
        <v>632</v>
      </c>
      <c r="B5" s="31" t="s">
        <v>103</v>
      </c>
      <c r="C5" s="16" t="s">
        <v>631</v>
      </c>
      <c r="D5" s="45"/>
      <c r="E5" s="33" t="s">
        <v>630</v>
      </c>
      <c r="F5" s="46">
        <v>0</v>
      </c>
    </row>
    <row r="6" spans="1:6" x14ac:dyDescent="0.25">
      <c r="A6" s="13" t="s">
        <v>633</v>
      </c>
      <c r="B6" s="31" t="s">
        <v>634</v>
      </c>
      <c r="C6" s="16" t="s">
        <v>635</v>
      </c>
      <c r="D6" s="45"/>
      <c r="E6" s="33" t="s">
        <v>636</v>
      </c>
      <c r="F6" s="46">
        <v>1</v>
      </c>
    </row>
    <row r="7" spans="1:6" ht="30" x14ac:dyDescent="0.25">
      <c r="A7" s="13" t="s">
        <v>637</v>
      </c>
      <c r="B7" s="41">
        <v>8</v>
      </c>
      <c r="C7" s="16" t="s">
        <v>638</v>
      </c>
      <c r="D7" s="45"/>
      <c r="E7" s="33" t="s">
        <v>639</v>
      </c>
      <c r="F7" s="46">
        <v>8</v>
      </c>
    </row>
    <row r="8" spans="1:6" x14ac:dyDescent="0.25">
      <c r="A8" s="13" t="s">
        <v>640</v>
      </c>
      <c r="B8" s="41">
        <v>4</v>
      </c>
      <c r="C8" s="16" t="s">
        <v>641</v>
      </c>
      <c r="D8" s="45"/>
      <c r="E8" s="33" t="s">
        <v>642</v>
      </c>
      <c r="F8" s="46">
        <v>4</v>
      </c>
    </row>
    <row r="9" spans="1:6" x14ac:dyDescent="0.25">
      <c r="A9" s="13" t="s">
        <v>643</v>
      </c>
      <c r="B9" s="31">
        <v>8</v>
      </c>
      <c r="C9" s="16" t="s">
        <v>638</v>
      </c>
      <c r="D9" s="45"/>
      <c r="E9" s="33" t="s">
        <v>644</v>
      </c>
      <c r="F9" s="46">
        <v>8</v>
      </c>
    </row>
    <row r="10" spans="1:6" x14ac:dyDescent="0.25">
      <c r="A10" s="13" t="s">
        <v>645</v>
      </c>
      <c r="B10" s="31" t="s">
        <v>634</v>
      </c>
      <c r="C10" s="16" t="s">
        <v>641</v>
      </c>
      <c r="D10" s="45"/>
      <c r="E10" s="33" t="s">
        <v>646</v>
      </c>
      <c r="F10" s="46">
        <v>1</v>
      </c>
    </row>
    <row r="11" spans="1:6" x14ac:dyDescent="0.25">
      <c r="A11" s="13" t="s">
        <v>647</v>
      </c>
      <c r="B11" s="31" t="s">
        <v>648</v>
      </c>
      <c r="C11" s="16" t="s">
        <v>649</v>
      </c>
      <c r="D11" s="45"/>
      <c r="E11" s="33" t="s">
        <v>650</v>
      </c>
      <c r="F11" s="46">
        <v>0</v>
      </c>
    </row>
    <row r="12" spans="1:6" x14ac:dyDescent="0.25">
      <c r="A12" s="13" t="s">
        <v>651</v>
      </c>
      <c r="B12" s="31">
        <v>4</v>
      </c>
      <c r="C12" s="16" t="s">
        <v>200</v>
      </c>
      <c r="D12" s="45"/>
      <c r="E12" s="33" t="s">
        <v>652</v>
      </c>
      <c r="F12" s="46">
        <v>4</v>
      </c>
    </row>
    <row r="13" spans="1:6" ht="30" x14ac:dyDescent="0.25">
      <c r="A13" s="13" t="s">
        <v>653</v>
      </c>
      <c r="B13" s="31">
        <v>8</v>
      </c>
      <c r="C13" s="16" t="s">
        <v>200</v>
      </c>
      <c r="D13" s="45"/>
      <c r="E13" s="33" t="s">
        <v>654</v>
      </c>
      <c r="F13" s="46">
        <v>8</v>
      </c>
    </row>
    <row r="14" spans="1:6" ht="30" x14ac:dyDescent="0.25">
      <c r="A14" s="13" t="s">
        <v>655</v>
      </c>
      <c r="B14" s="31">
        <v>8</v>
      </c>
      <c r="C14" s="16" t="s">
        <v>200</v>
      </c>
      <c r="D14" s="45"/>
      <c r="E14" s="33" t="s">
        <v>656</v>
      </c>
      <c r="F14" s="46">
        <v>8</v>
      </c>
    </row>
    <row r="15" spans="1:6" ht="30" x14ac:dyDescent="0.25">
      <c r="A15" s="13" t="s">
        <v>657</v>
      </c>
      <c r="B15" s="31" t="s">
        <v>103</v>
      </c>
      <c r="C15" s="16" t="s">
        <v>200</v>
      </c>
      <c r="D15" s="45"/>
      <c r="E15" s="33" t="s">
        <v>658</v>
      </c>
      <c r="F15" s="46">
        <v>0</v>
      </c>
    </row>
    <row r="16" spans="1:6" x14ac:dyDescent="0.25">
      <c r="A16" s="13" t="s">
        <v>659</v>
      </c>
      <c r="B16" s="31">
        <v>1</v>
      </c>
      <c r="C16" s="16" t="s">
        <v>661</v>
      </c>
      <c r="D16" s="45"/>
      <c r="E16" s="33" t="s">
        <v>660</v>
      </c>
      <c r="F16" s="46">
        <v>1</v>
      </c>
    </row>
    <row r="17" spans="1:6" x14ac:dyDescent="0.25">
      <c r="A17" s="13" t="s">
        <v>662</v>
      </c>
      <c r="B17" s="31">
        <v>4</v>
      </c>
      <c r="C17" s="16" t="s">
        <v>200</v>
      </c>
      <c r="D17" s="45"/>
      <c r="E17" s="33" t="s">
        <v>663</v>
      </c>
      <c r="F17" s="46">
        <v>4</v>
      </c>
    </row>
    <row r="18" spans="1:6" x14ac:dyDescent="0.25">
      <c r="A18" s="13" t="s">
        <v>664</v>
      </c>
      <c r="B18" s="31">
        <v>8</v>
      </c>
      <c r="C18" s="16" t="s">
        <v>200</v>
      </c>
      <c r="D18" s="45"/>
      <c r="E18" s="33" t="s">
        <v>665</v>
      </c>
      <c r="F18" s="46">
        <v>8</v>
      </c>
    </row>
    <row r="19" spans="1:6" x14ac:dyDescent="0.25">
      <c r="A19" s="13" t="s">
        <v>666</v>
      </c>
      <c r="B19" s="31">
        <v>1</v>
      </c>
      <c r="C19" s="16" t="s">
        <v>200</v>
      </c>
      <c r="D19" s="45"/>
      <c r="E19" s="33" t="s">
        <v>667</v>
      </c>
      <c r="F19" s="46">
        <v>1</v>
      </c>
    </row>
    <row r="20" spans="1:6" x14ac:dyDescent="0.25">
      <c r="A20" s="13" t="s">
        <v>668</v>
      </c>
      <c r="B20" s="31">
        <v>32</v>
      </c>
      <c r="C20" s="16" t="s">
        <v>200</v>
      </c>
      <c r="D20" s="45"/>
      <c r="E20" s="33" t="s">
        <v>669</v>
      </c>
      <c r="F20" s="46">
        <v>32</v>
      </c>
    </row>
    <row r="21" spans="1:6" x14ac:dyDescent="0.25">
      <c r="A21" s="13" t="s">
        <v>670</v>
      </c>
      <c r="B21" s="31" t="s">
        <v>103</v>
      </c>
      <c r="C21" s="16" t="s">
        <v>200</v>
      </c>
      <c r="D21" s="45"/>
      <c r="E21" s="33" t="s">
        <v>671</v>
      </c>
      <c r="F21" s="46">
        <v>0</v>
      </c>
    </row>
    <row r="22" spans="1:6" x14ac:dyDescent="0.25">
      <c r="A22" s="13" t="s">
        <v>672</v>
      </c>
      <c r="B22" s="31" t="s">
        <v>103</v>
      </c>
      <c r="C22" s="16" t="s">
        <v>200</v>
      </c>
      <c r="D22" s="45"/>
      <c r="E22" s="33" t="s">
        <v>673</v>
      </c>
      <c r="F22" s="46">
        <v>0</v>
      </c>
    </row>
    <row r="23" spans="1:6" x14ac:dyDescent="0.25">
      <c r="A23" s="13" t="s">
        <v>674</v>
      </c>
      <c r="B23" s="31">
        <v>1024</v>
      </c>
      <c r="C23" s="16" t="s">
        <v>200</v>
      </c>
      <c r="D23" s="45"/>
      <c r="E23" s="33" t="s">
        <v>675</v>
      </c>
      <c r="F23" s="46">
        <v>1024</v>
      </c>
    </row>
    <row r="24" spans="1:6" x14ac:dyDescent="0.25">
      <c r="A24" s="13" t="s">
        <v>676</v>
      </c>
      <c r="B24" s="31">
        <v>80000</v>
      </c>
      <c r="C24" s="16" t="s">
        <v>200</v>
      </c>
      <c r="D24" s="45"/>
      <c r="E24" s="33" t="s">
        <v>677</v>
      </c>
      <c r="F24" s="46">
        <v>80000</v>
      </c>
    </row>
    <row r="25" spans="1:6" x14ac:dyDescent="0.25">
      <c r="A25" s="13" t="s">
        <v>678</v>
      </c>
      <c r="B25" s="31">
        <v>160</v>
      </c>
      <c r="C25" s="16" t="s">
        <v>200</v>
      </c>
      <c r="D25" s="45"/>
      <c r="E25" s="33" t="s">
        <v>679</v>
      </c>
      <c r="F25" s="46">
        <v>160</v>
      </c>
    </row>
    <row r="26" spans="1:6" ht="30" x14ac:dyDescent="0.25">
      <c r="A26" s="13" t="s">
        <v>680</v>
      </c>
      <c r="B26" s="31" t="s">
        <v>681</v>
      </c>
      <c r="C26" s="16" t="s">
        <v>682</v>
      </c>
      <c r="D26" s="45"/>
      <c r="E26" s="33" t="s">
        <v>683</v>
      </c>
      <c r="F26" s="46" t="s">
        <v>681</v>
      </c>
    </row>
    <row r="27" spans="1:6" x14ac:dyDescent="0.25">
      <c r="A27" s="13" t="s">
        <v>684</v>
      </c>
      <c r="B27" s="31" t="s">
        <v>691</v>
      </c>
      <c r="C27" s="16" t="s">
        <v>200</v>
      </c>
      <c r="D27" s="45"/>
      <c r="E27" s="33" t="s">
        <v>685</v>
      </c>
      <c r="F27" s="46" t="s">
        <v>691</v>
      </c>
    </row>
    <row r="28" spans="1:6" x14ac:dyDescent="0.25">
      <c r="A28" s="13" t="s">
        <v>686</v>
      </c>
      <c r="B28" s="31" t="s">
        <v>159</v>
      </c>
      <c r="C28" s="16" t="s">
        <v>200</v>
      </c>
      <c r="D28" s="45"/>
      <c r="E28" s="33" t="s">
        <v>687</v>
      </c>
      <c r="F28" s="46" t="s">
        <v>159</v>
      </c>
    </row>
    <row r="29" spans="1:6" ht="15.75" thickBot="1" x14ac:dyDescent="0.3">
      <c r="A29" s="14" t="s">
        <v>688</v>
      </c>
      <c r="B29" s="32">
        <v>1</v>
      </c>
      <c r="C29" s="18" t="s">
        <v>689</v>
      </c>
      <c r="D29" s="45"/>
      <c r="E29" s="34" t="s">
        <v>690</v>
      </c>
      <c r="F29" s="47">
        <v>1</v>
      </c>
    </row>
  </sheetData>
  <pageMargins left="0.7" right="0.7" top="0.75" bottom="0.75" header="0.3" footer="0.3"/>
  <pageSetup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Q114"/>
  <sheetViews>
    <sheetView workbookViewId="0"/>
  </sheetViews>
  <sheetFormatPr defaultRowHeight="15" x14ac:dyDescent="0.25"/>
  <cols>
    <col min="1" max="1" width="38.5703125" customWidth="1"/>
    <col min="2" max="2" width="15.5703125" customWidth="1"/>
    <col min="3" max="3" width="37" customWidth="1"/>
    <col min="5" max="5" width="37.5703125" customWidth="1"/>
    <col min="6" max="6" width="17.42578125" customWidth="1"/>
    <col min="8" max="8" width="33" customWidth="1"/>
    <col min="9" max="11" width="12.85546875" customWidth="1"/>
    <col min="12" max="12" width="35" customWidth="1"/>
    <col min="14" max="14" width="20.5703125" customWidth="1"/>
  </cols>
  <sheetData>
    <row r="1" spans="1:8" ht="31.5" x14ac:dyDescent="0.25">
      <c r="A1" s="9" t="s">
        <v>11</v>
      </c>
      <c r="B1" s="15" t="s">
        <v>85</v>
      </c>
      <c r="C1" s="10" t="s">
        <v>265</v>
      </c>
      <c r="E1" s="37" t="s">
        <v>349</v>
      </c>
      <c r="F1" s="39" t="s">
        <v>390</v>
      </c>
      <c r="H1" t="s">
        <v>993</v>
      </c>
    </row>
    <row r="2" spans="1:8" ht="30" x14ac:dyDescent="0.25">
      <c r="A2" s="13" t="s">
        <v>301</v>
      </c>
      <c r="B2" s="8" t="s">
        <v>103</v>
      </c>
      <c r="C2" s="16" t="s">
        <v>135</v>
      </c>
      <c r="E2" s="33" t="s">
        <v>429</v>
      </c>
      <c r="F2" s="35">
        <v>0</v>
      </c>
    </row>
    <row r="3" spans="1:8" x14ac:dyDescent="0.25">
      <c r="A3" s="13" t="s">
        <v>943</v>
      </c>
      <c r="B3" s="8">
        <v>32</v>
      </c>
      <c r="C3" s="16" t="s">
        <v>944</v>
      </c>
      <c r="E3" s="33" t="s">
        <v>945</v>
      </c>
      <c r="F3" s="35">
        <v>32</v>
      </c>
    </row>
    <row r="4" spans="1:8" x14ac:dyDescent="0.25">
      <c r="A4" s="13" t="s">
        <v>946</v>
      </c>
      <c r="B4" s="8">
        <v>64</v>
      </c>
      <c r="C4" s="16" t="s">
        <v>948</v>
      </c>
      <c r="E4" s="33" t="s">
        <v>947</v>
      </c>
      <c r="F4" s="35">
        <v>64</v>
      </c>
    </row>
    <row r="5" spans="1:8" x14ac:dyDescent="0.25">
      <c r="A5" s="13" t="s">
        <v>949</v>
      </c>
      <c r="B5" s="8">
        <v>8</v>
      </c>
      <c r="C5" s="16" t="s">
        <v>950</v>
      </c>
      <c r="E5" s="33" t="s">
        <v>951</v>
      </c>
      <c r="F5" s="35">
        <v>8</v>
      </c>
    </row>
    <row r="6" spans="1:8" x14ac:dyDescent="0.25">
      <c r="A6" s="13" t="s">
        <v>952</v>
      </c>
      <c r="B6" s="8">
        <v>1</v>
      </c>
      <c r="C6" s="16" t="s">
        <v>953</v>
      </c>
      <c r="E6" s="33" t="s">
        <v>954</v>
      </c>
      <c r="F6" s="35">
        <v>1</v>
      </c>
    </row>
    <row r="7" spans="1:8" x14ac:dyDescent="0.25">
      <c r="A7" s="13" t="s">
        <v>955</v>
      </c>
      <c r="B7" s="8">
        <v>0</v>
      </c>
      <c r="C7" s="16" t="s">
        <v>956</v>
      </c>
      <c r="E7" s="33" t="s">
        <v>957</v>
      </c>
      <c r="F7" s="35">
        <v>0</v>
      </c>
    </row>
    <row r="8" spans="1:8" x14ac:dyDescent="0.25">
      <c r="A8" s="13" t="s">
        <v>958</v>
      </c>
      <c r="B8" s="8" t="s">
        <v>959</v>
      </c>
      <c r="C8" s="16" t="s">
        <v>337</v>
      </c>
      <c r="E8" s="33" t="s">
        <v>960</v>
      </c>
      <c r="F8" s="35">
        <v>0</v>
      </c>
    </row>
    <row r="9" spans="1:8" x14ac:dyDescent="0.25">
      <c r="A9" s="13" t="s">
        <v>962</v>
      </c>
      <c r="B9" s="8" t="s">
        <v>648</v>
      </c>
      <c r="C9" s="16" t="s">
        <v>963</v>
      </c>
      <c r="E9" s="33" t="s">
        <v>961</v>
      </c>
      <c r="F9" s="35">
        <v>0</v>
      </c>
    </row>
    <row r="10" spans="1:8" x14ac:dyDescent="0.25">
      <c r="A10" s="13" t="s">
        <v>992</v>
      </c>
      <c r="B10" s="8">
        <v>2</v>
      </c>
      <c r="C10" s="16" t="s">
        <v>964</v>
      </c>
      <c r="E10" s="33" t="s">
        <v>965</v>
      </c>
      <c r="F10" s="35">
        <v>2</v>
      </c>
    </row>
    <row r="11" spans="1:8" x14ac:dyDescent="0.25">
      <c r="A11" s="13" t="s">
        <v>966</v>
      </c>
      <c r="B11" s="8">
        <v>2</v>
      </c>
      <c r="C11" s="16" t="s">
        <v>964</v>
      </c>
      <c r="E11" s="33" t="s">
        <v>967</v>
      </c>
      <c r="F11" s="35">
        <v>2</v>
      </c>
    </row>
    <row r="12" spans="1:8" x14ac:dyDescent="0.25">
      <c r="A12" s="13" t="s">
        <v>990</v>
      </c>
      <c r="B12" s="8">
        <v>2</v>
      </c>
      <c r="C12" s="16" t="s">
        <v>964</v>
      </c>
      <c r="E12" s="33" t="s">
        <v>968</v>
      </c>
      <c r="F12" s="35">
        <v>2</v>
      </c>
    </row>
    <row r="13" spans="1:8" x14ac:dyDescent="0.25">
      <c r="A13" s="13" t="s">
        <v>969</v>
      </c>
      <c r="B13" s="8">
        <v>2</v>
      </c>
      <c r="C13" s="16" t="s">
        <v>964</v>
      </c>
      <c r="E13" s="33" t="s">
        <v>970</v>
      </c>
      <c r="F13" s="35">
        <v>2</v>
      </c>
    </row>
    <row r="14" spans="1:8" x14ac:dyDescent="0.25">
      <c r="A14" s="13" t="s">
        <v>943</v>
      </c>
      <c r="B14" s="8">
        <v>32</v>
      </c>
      <c r="C14" s="16" t="s">
        <v>944</v>
      </c>
      <c r="E14" s="33" t="s">
        <v>971</v>
      </c>
      <c r="F14" s="35">
        <v>32</v>
      </c>
    </row>
    <row r="15" spans="1:8" x14ac:dyDescent="0.25">
      <c r="A15" s="13" t="s">
        <v>946</v>
      </c>
      <c r="B15" s="8">
        <v>32</v>
      </c>
      <c r="C15" s="16" t="s">
        <v>972</v>
      </c>
      <c r="E15" s="33" t="s">
        <v>973</v>
      </c>
      <c r="F15" s="35">
        <v>32</v>
      </c>
    </row>
    <row r="16" spans="1:8" x14ac:dyDescent="0.25">
      <c r="A16" s="13" t="s">
        <v>974</v>
      </c>
      <c r="B16" s="8" t="s">
        <v>94</v>
      </c>
      <c r="C16" s="16" t="s">
        <v>975</v>
      </c>
      <c r="E16" s="33" t="s">
        <v>976</v>
      </c>
      <c r="F16" s="35">
        <v>1</v>
      </c>
    </row>
    <row r="17" spans="1:8" x14ac:dyDescent="0.25">
      <c r="A17" s="13" t="s">
        <v>977</v>
      </c>
      <c r="B17" s="8" t="s">
        <v>103</v>
      </c>
      <c r="C17" s="16" t="s">
        <v>979</v>
      </c>
      <c r="E17" s="33" t="s">
        <v>978</v>
      </c>
      <c r="F17" s="35">
        <v>0</v>
      </c>
    </row>
    <row r="18" spans="1:8" x14ac:dyDescent="0.25">
      <c r="A18" s="13" t="s">
        <v>980</v>
      </c>
      <c r="B18" s="8" t="s">
        <v>103</v>
      </c>
      <c r="C18" s="16" t="s">
        <v>981</v>
      </c>
      <c r="E18" s="33" t="s">
        <v>982</v>
      </c>
      <c r="F18" s="35">
        <v>0</v>
      </c>
    </row>
    <row r="19" spans="1:8" x14ac:dyDescent="0.25">
      <c r="A19" s="13" t="s">
        <v>983</v>
      </c>
      <c r="B19" s="8">
        <v>0</v>
      </c>
      <c r="C19" s="16" t="s">
        <v>985</v>
      </c>
      <c r="E19" s="33" t="s">
        <v>984</v>
      </c>
      <c r="F19" s="35">
        <v>0</v>
      </c>
    </row>
    <row r="20" spans="1:8" x14ac:dyDescent="0.25">
      <c r="A20" s="13" t="s">
        <v>986</v>
      </c>
      <c r="B20" s="8" t="s">
        <v>959</v>
      </c>
      <c r="C20" s="16" t="s">
        <v>337</v>
      </c>
      <c r="E20" s="33" t="s">
        <v>987</v>
      </c>
      <c r="F20" s="35">
        <v>0</v>
      </c>
    </row>
    <row r="21" spans="1:8" ht="15.75" thickBot="1" x14ac:dyDescent="0.3">
      <c r="A21" s="14" t="s">
        <v>991</v>
      </c>
      <c r="B21" s="17" t="s">
        <v>103</v>
      </c>
      <c r="C21" s="18" t="s">
        <v>989</v>
      </c>
      <c r="E21" s="34" t="s">
        <v>988</v>
      </c>
      <c r="F21" s="36">
        <v>0</v>
      </c>
    </row>
    <row r="22" spans="1:8" ht="15.75" thickBot="1" x14ac:dyDescent="0.3"/>
    <row r="23" spans="1:8" ht="31.5" x14ac:dyDescent="0.25">
      <c r="A23" s="9" t="s">
        <v>11</v>
      </c>
      <c r="B23" s="15" t="s">
        <v>85</v>
      </c>
      <c r="C23" s="10" t="s">
        <v>265</v>
      </c>
      <c r="E23" s="37" t="s">
        <v>349</v>
      </c>
      <c r="F23" s="39" t="s">
        <v>390</v>
      </c>
      <c r="H23" t="s">
        <v>994</v>
      </c>
    </row>
    <row r="24" spans="1:8" x14ac:dyDescent="0.25">
      <c r="A24" s="13" t="s">
        <v>995</v>
      </c>
      <c r="B24" s="8">
        <v>32</v>
      </c>
      <c r="C24" s="16" t="s">
        <v>944</v>
      </c>
      <c r="E24" s="33" t="s">
        <v>996</v>
      </c>
      <c r="F24" s="35">
        <v>32</v>
      </c>
    </row>
    <row r="25" spans="1:8" x14ac:dyDescent="0.25">
      <c r="A25" s="13" t="s">
        <v>997</v>
      </c>
      <c r="B25" s="8">
        <v>32</v>
      </c>
      <c r="C25" s="16" t="s">
        <v>998</v>
      </c>
      <c r="E25" s="33" t="s">
        <v>999</v>
      </c>
      <c r="F25" s="35">
        <v>32</v>
      </c>
    </row>
    <row r="26" spans="1:8" x14ac:dyDescent="0.25">
      <c r="A26" s="13" t="s">
        <v>1000</v>
      </c>
      <c r="B26" s="8" t="s">
        <v>103</v>
      </c>
      <c r="C26" s="16" t="s">
        <v>337</v>
      </c>
      <c r="E26" s="33" t="s">
        <v>1001</v>
      </c>
      <c r="F26" s="35">
        <v>0</v>
      </c>
    </row>
    <row r="27" spans="1:8" x14ac:dyDescent="0.25">
      <c r="A27" s="13" t="s">
        <v>1002</v>
      </c>
      <c r="B27" s="8">
        <v>32</v>
      </c>
      <c r="C27" s="16" t="s">
        <v>944</v>
      </c>
      <c r="E27" s="33" t="s">
        <v>1005</v>
      </c>
      <c r="F27" s="35">
        <v>32</v>
      </c>
    </row>
    <row r="28" spans="1:8" x14ac:dyDescent="0.25">
      <c r="A28" s="13" t="s">
        <v>1004</v>
      </c>
      <c r="B28" s="8">
        <v>64</v>
      </c>
      <c r="C28" s="16" t="s">
        <v>1003</v>
      </c>
      <c r="E28" s="33" t="s">
        <v>1006</v>
      </c>
      <c r="F28" s="35">
        <v>64</v>
      </c>
    </row>
    <row r="29" spans="1:8" x14ac:dyDescent="0.25">
      <c r="A29" s="13" t="s">
        <v>1007</v>
      </c>
      <c r="B29" s="8">
        <v>8</v>
      </c>
      <c r="C29" s="16" t="s">
        <v>1008</v>
      </c>
      <c r="E29" s="33" t="s">
        <v>1009</v>
      </c>
      <c r="F29" s="35">
        <v>8</v>
      </c>
    </row>
    <row r="30" spans="1:8" x14ac:dyDescent="0.25">
      <c r="A30" s="13" t="s">
        <v>1010</v>
      </c>
      <c r="B30" s="8">
        <v>4</v>
      </c>
      <c r="C30" s="16" t="s">
        <v>1011</v>
      </c>
      <c r="E30" s="33" t="s">
        <v>1012</v>
      </c>
      <c r="F30" s="35">
        <v>4</v>
      </c>
    </row>
    <row r="31" spans="1:8" x14ac:dyDescent="0.25">
      <c r="A31" s="13" t="s">
        <v>1013</v>
      </c>
      <c r="B31" s="8" t="s">
        <v>94</v>
      </c>
      <c r="C31" s="16" t="s">
        <v>1014</v>
      </c>
      <c r="E31" s="33" t="s">
        <v>1015</v>
      </c>
      <c r="F31" s="35">
        <v>1</v>
      </c>
    </row>
    <row r="32" spans="1:8" x14ac:dyDescent="0.25">
      <c r="A32" s="13" t="s">
        <v>1016</v>
      </c>
      <c r="B32" s="8" t="s">
        <v>103</v>
      </c>
      <c r="C32" s="16" t="s">
        <v>1017</v>
      </c>
      <c r="E32" s="33" t="s">
        <v>1018</v>
      </c>
      <c r="F32" s="35">
        <v>0</v>
      </c>
    </row>
    <row r="33" spans="1:8" x14ac:dyDescent="0.25">
      <c r="A33" s="13" t="s">
        <v>1019</v>
      </c>
      <c r="B33" s="8">
        <v>0</v>
      </c>
      <c r="C33" s="16" t="s">
        <v>200</v>
      </c>
      <c r="E33" s="33" t="s">
        <v>1020</v>
      </c>
      <c r="F33" s="35" t="s">
        <v>159</v>
      </c>
    </row>
    <row r="34" spans="1:8" x14ac:dyDescent="0.25">
      <c r="A34" s="13" t="s">
        <v>1021</v>
      </c>
      <c r="B34" s="8" t="s">
        <v>103</v>
      </c>
      <c r="C34" s="16" t="s">
        <v>337</v>
      </c>
      <c r="E34" s="33" t="s">
        <v>1022</v>
      </c>
      <c r="F34" s="35">
        <v>0</v>
      </c>
    </row>
    <row r="35" spans="1:8" x14ac:dyDescent="0.25">
      <c r="A35" s="13" t="s">
        <v>1023</v>
      </c>
      <c r="B35" s="8" t="s">
        <v>94</v>
      </c>
      <c r="C35" s="16" t="s">
        <v>1025</v>
      </c>
      <c r="E35" s="33" t="s">
        <v>1024</v>
      </c>
      <c r="F35" s="35">
        <v>1</v>
      </c>
    </row>
    <row r="36" spans="1:8" x14ac:dyDescent="0.25">
      <c r="A36" s="13" t="s">
        <v>1026</v>
      </c>
      <c r="B36" s="8">
        <v>1</v>
      </c>
      <c r="C36" s="16" t="s">
        <v>964</v>
      </c>
      <c r="E36" s="33" t="s">
        <v>1027</v>
      </c>
      <c r="F36" s="35">
        <v>1</v>
      </c>
    </row>
    <row r="37" spans="1:8" x14ac:dyDescent="0.25">
      <c r="A37" s="13" t="s">
        <v>1028</v>
      </c>
      <c r="B37" s="8">
        <v>1</v>
      </c>
      <c r="C37" s="16" t="s">
        <v>964</v>
      </c>
      <c r="E37" s="33" t="s">
        <v>1029</v>
      </c>
      <c r="F37" s="35">
        <v>1</v>
      </c>
    </row>
    <row r="38" spans="1:8" x14ac:dyDescent="0.25">
      <c r="A38" s="13" t="s">
        <v>1030</v>
      </c>
      <c r="B38" s="8" t="s">
        <v>94</v>
      </c>
      <c r="C38" s="16" t="s">
        <v>1025</v>
      </c>
      <c r="E38" s="33" t="s">
        <v>1031</v>
      </c>
      <c r="F38" s="35">
        <v>1</v>
      </c>
    </row>
    <row r="39" spans="1:8" x14ac:dyDescent="0.25">
      <c r="A39" s="13" t="s">
        <v>1032</v>
      </c>
      <c r="B39" s="8" t="s">
        <v>94</v>
      </c>
      <c r="C39" s="16" t="s">
        <v>1025</v>
      </c>
      <c r="E39" s="33" t="s">
        <v>1033</v>
      </c>
      <c r="F39" s="35">
        <v>1</v>
      </c>
    </row>
    <row r="40" spans="1:8" x14ac:dyDescent="0.25">
      <c r="A40" s="13" t="s">
        <v>1034</v>
      </c>
      <c r="B40" s="8">
        <v>1</v>
      </c>
      <c r="C40" s="16" t="s">
        <v>964</v>
      </c>
      <c r="E40" s="33" t="s">
        <v>1035</v>
      </c>
      <c r="F40" s="35">
        <v>1</v>
      </c>
    </row>
    <row r="41" spans="1:8" ht="15.75" thickBot="1" x14ac:dyDescent="0.3">
      <c r="A41" s="14" t="s">
        <v>1036</v>
      </c>
      <c r="B41" s="17">
        <v>1</v>
      </c>
      <c r="C41" s="18" t="s">
        <v>1037</v>
      </c>
      <c r="E41" s="34" t="s">
        <v>1038</v>
      </c>
      <c r="F41" s="36">
        <v>1</v>
      </c>
    </row>
    <row r="42" spans="1:8" ht="15.75" thickBot="1" x14ac:dyDescent="0.3"/>
    <row r="43" spans="1:8" ht="31.5" x14ac:dyDescent="0.25">
      <c r="A43" s="9" t="s">
        <v>11</v>
      </c>
      <c r="B43" s="15" t="s">
        <v>85</v>
      </c>
      <c r="C43" s="10" t="s">
        <v>265</v>
      </c>
      <c r="E43" s="37" t="s">
        <v>349</v>
      </c>
      <c r="F43" s="39" t="s">
        <v>390</v>
      </c>
      <c r="H43" t="s">
        <v>1039</v>
      </c>
    </row>
    <row r="44" spans="1:8" x14ac:dyDescent="0.25">
      <c r="A44" s="13" t="s">
        <v>943</v>
      </c>
      <c r="B44" s="8">
        <v>32</v>
      </c>
      <c r="C44" s="16" t="s">
        <v>944</v>
      </c>
      <c r="E44" s="33" t="s">
        <v>1040</v>
      </c>
      <c r="F44" s="35">
        <v>32</v>
      </c>
    </row>
    <row r="45" spans="1:8" x14ac:dyDescent="0.25">
      <c r="A45" s="13" t="s">
        <v>946</v>
      </c>
      <c r="B45" s="8">
        <v>32</v>
      </c>
      <c r="C45" s="16" t="s">
        <v>998</v>
      </c>
      <c r="E45" s="33" t="s">
        <v>1041</v>
      </c>
      <c r="F45" s="35">
        <v>32</v>
      </c>
    </row>
    <row r="46" spans="1:8" x14ac:dyDescent="0.25">
      <c r="A46" s="13" t="s">
        <v>958</v>
      </c>
      <c r="B46" s="8" t="s">
        <v>959</v>
      </c>
      <c r="C46" s="16" t="s">
        <v>337</v>
      </c>
      <c r="E46" s="33" t="s">
        <v>1042</v>
      </c>
      <c r="F46" s="35">
        <v>0</v>
      </c>
    </row>
    <row r="47" spans="1:8" x14ac:dyDescent="0.25">
      <c r="A47" s="13" t="s">
        <v>1043</v>
      </c>
      <c r="B47" s="8">
        <v>1</v>
      </c>
      <c r="C47" s="16" t="s">
        <v>1044</v>
      </c>
      <c r="E47" s="33" t="s">
        <v>1045</v>
      </c>
      <c r="F47" s="35">
        <v>1</v>
      </c>
    </row>
    <row r="48" spans="1:8" x14ac:dyDescent="0.25">
      <c r="A48" s="13" t="s">
        <v>943</v>
      </c>
      <c r="B48" s="8">
        <v>32</v>
      </c>
      <c r="C48" s="16" t="s">
        <v>944</v>
      </c>
      <c r="E48" s="33" t="s">
        <v>1046</v>
      </c>
      <c r="F48" s="35">
        <v>32</v>
      </c>
    </row>
    <row r="49" spans="1:8" x14ac:dyDescent="0.25">
      <c r="A49" s="13" t="s">
        <v>946</v>
      </c>
      <c r="B49" s="8">
        <v>32</v>
      </c>
      <c r="C49" s="16" t="s">
        <v>998</v>
      </c>
      <c r="E49" s="33" t="s">
        <v>1047</v>
      </c>
      <c r="F49" s="35">
        <v>32</v>
      </c>
    </row>
    <row r="50" spans="1:8" x14ac:dyDescent="0.25">
      <c r="A50" s="13" t="s">
        <v>958</v>
      </c>
      <c r="B50" s="8" t="s">
        <v>959</v>
      </c>
      <c r="C50" s="16" t="s">
        <v>337</v>
      </c>
      <c r="E50" s="33" t="s">
        <v>1048</v>
      </c>
      <c r="F50" s="35">
        <v>0</v>
      </c>
    </row>
    <row r="51" spans="1:8" x14ac:dyDescent="0.25">
      <c r="A51" s="13" t="s">
        <v>1049</v>
      </c>
      <c r="B51" s="8">
        <v>8</v>
      </c>
      <c r="C51" s="16" t="s">
        <v>200</v>
      </c>
      <c r="E51" s="33" t="s">
        <v>1050</v>
      </c>
      <c r="F51" s="35">
        <v>8</v>
      </c>
    </row>
    <row r="52" spans="1:8" x14ac:dyDescent="0.25">
      <c r="A52" s="13" t="s">
        <v>1051</v>
      </c>
      <c r="B52" s="8">
        <v>8</v>
      </c>
      <c r="C52" s="16" t="s">
        <v>200</v>
      </c>
      <c r="E52" s="33" t="s">
        <v>1052</v>
      </c>
      <c r="F52" s="35">
        <v>8</v>
      </c>
    </row>
    <row r="53" spans="1:8" x14ac:dyDescent="0.25">
      <c r="A53" s="13" t="s">
        <v>1053</v>
      </c>
      <c r="B53" s="8">
        <v>4</v>
      </c>
      <c r="C53" s="16" t="s">
        <v>1055</v>
      </c>
      <c r="E53" s="33" t="s">
        <v>1054</v>
      </c>
      <c r="F53" s="35">
        <v>4</v>
      </c>
    </row>
    <row r="54" spans="1:8" x14ac:dyDescent="0.25">
      <c r="A54" s="13" t="s">
        <v>1056</v>
      </c>
      <c r="B54" s="8" t="s">
        <v>1058</v>
      </c>
      <c r="C54" s="16" t="s">
        <v>1059</v>
      </c>
      <c r="E54" s="33" t="s">
        <v>1057</v>
      </c>
      <c r="F54" s="35" t="s">
        <v>1058</v>
      </c>
    </row>
    <row r="55" spans="1:8" x14ac:dyDescent="0.25">
      <c r="A55" s="13" t="s">
        <v>1060</v>
      </c>
      <c r="B55" s="8" t="s">
        <v>1058</v>
      </c>
      <c r="C55" s="16" t="s">
        <v>1059</v>
      </c>
      <c r="E55" s="33" t="s">
        <v>1061</v>
      </c>
      <c r="F55" s="35" t="s">
        <v>1058</v>
      </c>
    </row>
    <row r="56" spans="1:8" x14ac:dyDescent="0.25">
      <c r="A56" s="13" t="s">
        <v>1062</v>
      </c>
      <c r="B56" s="8" t="s">
        <v>1058</v>
      </c>
      <c r="C56" s="16" t="s">
        <v>1059</v>
      </c>
      <c r="E56" s="33" t="s">
        <v>1063</v>
      </c>
      <c r="F56" s="35" t="s">
        <v>1058</v>
      </c>
    </row>
    <row r="57" spans="1:8" x14ac:dyDescent="0.25">
      <c r="A57" s="13" t="s">
        <v>1064</v>
      </c>
      <c r="B57" s="8" t="s">
        <v>1058</v>
      </c>
      <c r="C57" s="16" t="s">
        <v>1059</v>
      </c>
      <c r="E57" s="33" t="s">
        <v>1065</v>
      </c>
      <c r="F57" s="35" t="s">
        <v>1058</v>
      </c>
    </row>
    <row r="58" spans="1:8" x14ac:dyDescent="0.25">
      <c r="A58" s="13" t="s">
        <v>962</v>
      </c>
      <c r="B58" s="8" t="s">
        <v>648</v>
      </c>
      <c r="C58" s="16" t="s">
        <v>1066</v>
      </c>
      <c r="E58" s="33" t="s">
        <v>1067</v>
      </c>
      <c r="F58" s="35" t="s">
        <v>55</v>
      </c>
    </row>
    <row r="59" spans="1:8" ht="30" x14ac:dyDescent="0.25">
      <c r="A59" s="13" t="s">
        <v>1068</v>
      </c>
      <c r="B59" s="8">
        <v>2</v>
      </c>
      <c r="C59" s="16" t="s">
        <v>1070</v>
      </c>
      <c r="E59" s="33" t="s">
        <v>1069</v>
      </c>
      <c r="F59" s="35" t="s">
        <v>1071</v>
      </c>
    </row>
    <row r="60" spans="1:8" ht="30" x14ac:dyDescent="0.25">
      <c r="A60" s="13" t="s">
        <v>1072</v>
      </c>
      <c r="B60" s="8">
        <v>2</v>
      </c>
      <c r="C60" s="16" t="s">
        <v>1070</v>
      </c>
      <c r="E60" s="33" t="s">
        <v>1073</v>
      </c>
      <c r="F60" s="35" t="s">
        <v>1071</v>
      </c>
    </row>
    <row r="61" spans="1:8" ht="30" x14ac:dyDescent="0.25">
      <c r="A61" s="13" t="s">
        <v>1074</v>
      </c>
      <c r="B61" s="8" t="s">
        <v>103</v>
      </c>
      <c r="C61" s="16" t="s">
        <v>1075</v>
      </c>
      <c r="E61" s="33" t="s">
        <v>1076</v>
      </c>
      <c r="F61" s="35">
        <v>0</v>
      </c>
    </row>
    <row r="62" spans="1:8" ht="15.75" thickBot="1" x14ac:dyDescent="0.3">
      <c r="A62" s="14" t="s">
        <v>1077</v>
      </c>
      <c r="B62" s="17" t="s">
        <v>103</v>
      </c>
      <c r="C62" s="18" t="s">
        <v>1078</v>
      </c>
      <c r="E62" s="34" t="s">
        <v>1079</v>
      </c>
      <c r="F62" s="36">
        <v>0</v>
      </c>
    </row>
    <row r="63" spans="1:8" ht="15.75" thickBot="1" x14ac:dyDescent="0.3"/>
    <row r="64" spans="1:8" ht="31.5" x14ac:dyDescent="0.25">
      <c r="A64" s="9" t="s">
        <v>11</v>
      </c>
      <c r="B64" s="15" t="s">
        <v>85</v>
      </c>
      <c r="C64" s="10" t="s">
        <v>265</v>
      </c>
      <c r="E64" s="37" t="s">
        <v>349</v>
      </c>
      <c r="F64" s="39" t="s">
        <v>390</v>
      </c>
      <c r="H64" t="s">
        <v>1396</v>
      </c>
    </row>
    <row r="65" spans="1:6" x14ac:dyDescent="0.25">
      <c r="A65" s="13" t="s">
        <v>1002</v>
      </c>
      <c r="B65" s="8">
        <v>32</v>
      </c>
      <c r="C65" s="16" t="s">
        <v>944</v>
      </c>
      <c r="E65" s="33" t="s">
        <v>1080</v>
      </c>
      <c r="F65" s="35">
        <v>32</v>
      </c>
    </row>
    <row r="66" spans="1:6" x14ac:dyDescent="0.25">
      <c r="A66" s="13" t="s">
        <v>1007</v>
      </c>
      <c r="B66" s="8">
        <v>8</v>
      </c>
      <c r="C66" s="16" t="s">
        <v>1081</v>
      </c>
      <c r="E66" s="33" t="s">
        <v>1082</v>
      </c>
      <c r="F66" s="35">
        <v>8</v>
      </c>
    </row>
    <row r="67" spans="1:6" x14ac:dyDescent="0.25">
      <c r="A67" s="13" t="s">
        <v>1083</v>
      </c>
      <c r="B67" s="8">
        <v>64</v>
      </c>
      <c r="C67" s="16" t="s">
        <v>1085</v>
      </c>
      <c r="E67" s="33" t="s">
        <v>1084</v>
      </c>
      <c r="F67" s="35">
        <v>64</v>
      </c>
    </row>
    <row r="68" spans="1:6" x14ac:dyDescent="0.25">
      <c r="A68" s="13" t="s">
        <v>1010</v>
      </c>
      <c r="B68" s="8">
        <v>4</v>
      </c>
      <c r="C68" s="16" t="s">
        <v>1087</v>
      </c>
      <c r="E68" s="33" t="s">
        <v>1086</v>
      </c>
      <c r="F68" s="35">
        <v>4</v>
      </c>
    </row>
    <row r="69" spans="1:6" x14ac:dyDescent="0.25">
      <c r="A69" s="13" t="s">
        <v>1088</v>
      </c>
      <c r="B69" s="8" t="s">
        <v>959</v>
      </c>
      <c r="C69" s="16" t="s">
        <v>337</v>
      </c>
      <c r="E69" s="33" t="s">
        <v>1089</v>
      </c>
      <c r="F69" s="35">
        <v>0</v>
      </c>
    </row>
    <row r="70" spans="1:6" x14ac:dyDescent="0.25">
      <c r="A70" s="13" t="s">
        <v>664</v>
      </c>
      <c r="B70" s="8">
        <v>2</v>
      </c>
      <c r="C70" s="16" t="s">
        <v>1090</v>
      </c>
      <c r="E70" s="33" t="s">
        <v>1091</v>
      </c>
      <c r="F70" s="35">
        <v>2</v>
      </c>
    </row>
    <row r="71" spans="1:6" x14ac:dyDescent="0.25">
      <c r="A71" s="13" t="s">
        <v>1028</v>
      </c>
      <c r="B71" s="8">
        <v>2</v>
      </c>
      <c r="C71" s="16" t="s">
        <v>1090</v>
      </c>
      <c r="E71" s="33" t="s">
        <v>1092</v>
      </c>
      <c r="F71" s="35">
        <v>2</v>
      </c>
    </row>
    <row r="72" spans="1:6" x14ac:dyDescent="0.25">
      <c r="A72" s="13" t="s">
        <v>1093</v>
      </c>
      <c r="B72" s="8">
        <v>2</v>
      </c>
      <c r="C72" s="16" t="s">
        <v>1090</v>
      </c>
      <c r="E72" s="33" t="s">
        <v>1094</v>
      </c>
      <c r="F72" s="35">
        <v>2</v>
      </c>
    </row>
    <row r="73" spans="1:6" x14ac:dyDescent="0.25">
      <c r="A73" s="13" t="s">
        <v>1034</v>
      </c>
      <c r="B73" s="8">
        <v>2</v>
      </c>
      <c r="C73" s="16" t="s">
        <v>1090</v>
      </c>
      <c r="E73" s="33" t="s">
        <v>1095</v>
      </c>
      <c r="F73" s="35">
        <v>2</v>
      </c>
    </row>
    <row r="74" spans="1:6" x14ac:dyDescent="0.25">
      <c r="A74" s="13" t="s">
        <v>1096</v>
      </c>
      <c r="B74" s="8" t="s">
        <v>648</v>
      </c>
      <c r="C74" s="16" t="s">
        <v>1098</v>
      </c>
      <c r="E74" s="33" t="s">
        <v>1097</v>
      </c>
      <c r="F74" s="35">
        <v>0</v>
      </c>
    </row>
    <row r="75" spans="1:6" x14ac:dyDescent="0.25">
      <c r="A75" s="13" t="s">
        <v>1099</v>
      </c>
      <c r="B75" s="8">
        <v>2</v>
      </c>
      <c r="C75" s="16" t="s">
        <v>1070</v>
      </c>
      <c r="E75" s="33" t="s">
        <v>1100</v>
      </c>
      <c r="F75" s="35">
        <v>2</v>
      </c>
    </row>
    <row r="76" spans="1:6" x14ac:dyDescent="0.25">
      <c r="A76" s="13" t="s">
        <v>1101</v>
      </c>
      <c r="B76" s="8">
        <v>32</v>
      </c>
      <c r="C76" s="16" t="s">
        <v>944</v>
      </c>
      <c r="E76" s="33" t="s">
        <v>1102</v>
      </c>
      <c r="F76" s="35">
        <v>32</v>
      </c>
    </row>
    <row r="77" spans="1:6" x14ac:dyDescent="0.25">
      <c r="A77" s="13" t="s">
        <v>1103</v>
      </c>
      <c r="B77" s="8">
        <v>32</v>
      </c>
      <c r="C77" s="16" t="s">
        <v>1104</v>
      </c>
      <c r="E77" s="33" t="s">
        <v>1105</v>
      </c>
      <c r="F77" s="35">
        <v>32</v>
      </c>
    </row>
    <row r="78" spans="1:6" x14ac:dyDescent="0.25">
      <c r="A78" s="13" t="s">
        <v>1106</v>
      </c>
      <c r="B78" s="8">
        <v>18</v>
      </c>
      <c r="C78" s="16" t="s">
        <v>1107</v>
      </c>
      <c r="E78" s="33" t="s">
        <v>1108</v>
      </c>
      <c r="F78" s="35">
        <v>16</v>
      </c>
    </row>
    <row r="79" spans="1:6" x14ac:dyDescent="0.25">
      <c r="A79" s="13" t="s">
        <v>1109</v>
      </c>
      <c r="B79" s="8" t="s">
        <v>161</v>
      </c>
      <c r="C79" s="16" t="s">
        <v>1110</v>
      </c>
      <c r="E79" s="33" t="s">
        <v>1111</v>
      </c>
      <c r="F79" s="35" t="s">
        <v>161</v>
      </c>
    </row>
    <row r="80" spans="1:6" x14ac:dyDescent="0.25">
      <c r="A80" s="13" t="s">
        <v>1112</v>
      </c>
      <c r="B80" s="8" t="s">
        <v>161</v>
      </c>
      <c r="C80" s="16" t="s">
        <v>1113</v>
      </c>
      <c r="E80" s="33" t="s">
        <v>1114</v>
      </c>
      <c r="F80" s="35" t="s">
        <v>161</v>
      </c>
    </row>
    <row r="81" spans="1:17" ht="30" x14ac:dyDescent="0.25">
      <c r="A81" s="13" t="s">
        <v>1115</v>
      </c>
      <c r="B81" s="8" t="s">
        <v>94</v>
      </c>
      <c r="C81" s="16" t="s">
        <v>1117</v>
      </c>
      <c r="E81" s="33" t="s">
        <v>1116</v>
      </c>
      <c r="F81" s="35">
        <v>1</v>
      </c>
    </row>
    <row r="82" spans="1:17" x14ac:dyDescent="0.25">
      <c r="A82" s="13" t="s">
        <v>1109</v>
      </c>
      <c r="B82" s="8" t="s">
        <v>161</v>
      </c>
      <c r="C82" s="16" t="s">
        <v>1110</v>
      </c>
      <c r="E82" s="33" t="s">
        <v>1118</v>
      </c>
      <c r="F82" s="35" t="s">
        <v>161</v>
      </c>
    </row>
    <row r="83" spans="1:17" x14ac:dyDescent="0.25">
      <c r="A83" s="13" t="s">
        <v>1112</v>
      </c>
      <c r="B83" s="8" t="s">
        <v>161</v>
      </c>
      <c r="C83" s="16" t="s">
        <v>1113</v>
      </c>
      <c r="E83" s="33" t="s">
        <v>1119</v>
      </c>
      <c r="F83" s="35" t="s">
        <v>161</v>
      </c>
    </row>
    <row r="84" spans="1:17" ht="15.75" thickBot="1" x14ac:dyDescent="0.3">
      <c r="A84" s="14" t="s">
        <v>991</v>
      </c>
      <c r="B84" s="17" t="s">
        <v>103</v>
      </c>
      <c r="C84" s="18" t="s">
        <v>989</v>
      </c>
      <c r="E84" s="34" t="s">
        <v>1120</v>
      </c>
      <c r="F84" s="36">
        <v>0</v>
      </c>
    </row>
    <row r="85" spans="1:17" ht="15.75" thickBot="1" x14ac:dyDescent="0.3"/>
    <row r="86" spans="1:17" ht="47.25" x14ac:dyDescent="0.25">
      <c r="H86" s="9" t="s">
        <v>11</v>
      </c>
      <c r="I86" s="15" t="s">
        <v>1406</v>
      </c>
      <c r="J86" s="15" t="s">
        <v>1407</v>
      </c>
      <c r="K86" s="15" t="s">
        <v>1408</v>
      </c>
      <c r="L86" s="10" t="s">
        <v>265</v>
      </c>
      <c r="N86" s="37" t="s">
        <v>349</v>
      </c>
      <c r="O86" s="84" t="s">
        <v>1411</v>
      </c>
      <c r="P86" s="84" t="s">
        <v>1410</v>
      </c>
      <c r="Q86" s="83" t="s">
        <v>1409</v>
      </c>
    </row>
    <row r="87" spans="1:17" x14ac:dyDescent="0.25">
      <c r="H87" s="13" t="s">
        <v>1421</v>
      </c>
      <c r="I87" s="8">
        <v>32</v>
      </c>
      <c r="J87" s="8">
        <v>32</v>
      </c>
      <c r="K87" s="8">
        <v>32</v>
      </c>
      <c r="L87" s="16" t="s">
        <v>944</v>
      </c>
      <c r="N87" s="33" t="s">
        <v>1412</v>
      </c>
      <c r="O87" s="8">
        <v>32</v>
      </c>
      <c r="P87" s="8">
        <v>32</v>
      </c>
      <c r="Q87" s="40">
        <v>32</v>
      </c>
    </row>
    <row r="88" spans="1:17" x14ac:dyDescent="0.25">
      <c r="H88" s="13" t="s">
        <v>1422</v>
      </c>
      <c r="I88" s="8">
        <v>32</v>
      </c>
      <c r="J88" s="8">
        <v>64</v>
      </c>
      <c r="K88" s="8">
        <v>64</v>
      </c>
      <c r="L88" s="16" t="s">
        <v>1463</v>
      </c>
      <c r="N88" s="33" t="s">
        <v>1413</v>
      </c>
      <c r="O88" s="8">
        <v>32</v>
      </c>
      <c r="P88" s="8">
        <v>64</v>
      </c>
      <c r="Q88" s="40">
        <v>64</v>
      </c>
    </row>
    <row r="89" spans="1:17" x14ac:dyDescent="0.25">
      <c r="H89" s="13" t="s">
        <v>1401</v>
      </c>
      <c r="I89" s="8">
        <v>8</v>
      </c>
      <c r="J89" s="8">
        <v>8</v>
      </c>
      <c r="K89" s="8">
        <v>8</v>
      </c>
      <c r="L89" s="16" t="s">
        <v>1464</v>
      </c>
      <c r="N89" s="33" t="s">
        <v>1414</v>
      </c>
      <c r="O89" s="8">
        <v>8</v>
      </c>
      <c r="P89" s="8">
        <v>8</v>
      </c>
      <c r="Q89" s="40">
        <v>8</v>
      </c>
    </row>
    <row r="90" spans="1:17" x14ac:dyDescent="0.25">
      <c r="H90" s="13" t="s">
        <v>1423</v>
      </c>
      <c r="I90" s="8">
        <v>32</v>
      </c>
      <c r="J90" s="8">
        <v>32</v>
      </c>
      <c r="K90" s="8">
        <v>32</v>
      </c>
      <c r="L90" s="16" t="s">
        <v>944</v>
      </c>
      <c r="N90" s="33" t="s">
        <v>1415</v>
      </c>
      <c r="O90" s="8">
        <v>32</v>
      </c>
      <c r="P90" s="8">
        <v>32</v>
      </c>
      <c r="Q90" s="40">
        <v>32</v>
      </c>
    </row>
    <row r="91" spans="1:17" x14ac:dyDescent="0.25">
      <c r="H91" s="13" t="s">
        <v>1402</v>
      </c>
      <c r="I91" s="8">
        <v>64</v>
      </c>
      <c r="J91" s="8">
        <v>32</v>
      </c>
      <c r="K91" s="8">
        <v>64</v>
      </c>
      <c r="L91" s="16" t="s">
        <v>1463</v>
      </c>
      <c r="N91" s="33" t="s">
        <v>1416</v>
      </c>
      <c r="O91" s="8">
        <v>64</v>
      </c>
      <c r="P91" s="8">
        <v>32</v>
      </c>
      <c r="Q91" s="40">
        <v>64</v>
      </c>
    </row>
    <row r="92" spans="1:17" x14ac:dyDescent="0.25">
      <c r="H92" s="13" t="s">
        <v>1403</v>
      </c>
      <c r="I92" s="8">
        <v>8</v>
      </c>
      <c r="J92" s="8">
        <v>8</v>
      </c>
      <c r="K92" s="8">
        <v>8</v>
      </c>
      <c r="L92" s="16" t="s">
        <v>1464</v>
      </c>
      <c r="N92" s="33" t="s">
        <v>1417</v>
      </c>
      <c r="O92" s="8">
        <v>8</v>
      </c>
      <c r="P92" s="8">
        <v>8</v>
      </c>
      <c r="Q92" s="40">
        <v>8</v>
      </c>
    </row>
    <row r="93" spans="1:17" x14ac:dyDescent="0.25">
      <c r="H93" s="13" t="s">
        <v>1424</v>
      </c>
      <c r="I93" s="8">
        <v>2</v>
      </c>
      <c r="J93" s="8">
        <v>1</v>
      </c>
      <c r="K93" s="8">
        <v>2</v>
      </c>
      <c r="L93" s="16" t="s">
        <v>1465</v>
      </c>
      <c r="N93" s="33" t="s">
        <v>1418</v>
      </c>
      <c r="O93" s="8">
        <v>2</v>
      </c>
      <c r="P93" s="8">
        <v>1</v>
      </c>
      <c r="Q93" s="40">
        <v>2</v>
      </c>
    </row>
    <row r="94" spans="1:17" x14ac:dyDescent="0.25">
      <c r="H94" s="13" t="s">
        <v>1404</v>
      </c>
      <c r="I94" s="8">
        <v>4</v>
      </c>
      <c r="J94" s="8">
        <v>1</v>
      </c>
      <c r="K94" s="8">
        <v>4</v>
      </c>
      <c r="L94" s="16" t="s">
        <v>1465</v>
      </c>
      <c r="N94" s="33" t="s">
        <v>1419</v>
      </c>
      <c r="O94" s="8">
        <v>4</v>
      </c>
      <c r="P94" s="8">
        <v>1</v>
      </c>
      <c r="Q94" s="40">
        <v>4</v>
      </c>
    </row>
    <row r="95" spans="1:17" x14ac:dyDescent="0.25">
      <c r="H95" s="13" t="s">
        <v>1405</v>
      </c>
      <c r="I95" s="8">
        <v>2</v>
      </c>
      <c r="J95" s="8">
        <v>1</v>
      </c>
      <c r="K95" s="8">
        <v>2</v>
      </c>
      <c r="L95" s="16" t="s">
        <v>1465</v>
      </c>
      <c r="N95" s="33" t="s">
        <v>1420</v>
      </c>
      <c r="O95" s="8">
        <v>2</v>
      </c>
      <c r="P95" s="8">
        <v>1</v>
      </c>
      <c r="Q95" s="40">
        <v>2</v>
      </c>
    </row>
    <row r="96" spans="1:17" x14ac:dyDescent="0.25">
      <c r="H96" s="13" t="s">
        <v>1426</v>
      </c>
      <c r="I96" s="8">
        <v>2</v>
      </c>
      <c r="J96" s="8">
        <v>1</v>
      </c>
      <c r="K96" s="8">
        <v>2</v>
      </c>
      <c r="L96" s="16" t="s">
        <v>1465</v>
      </c>
      <c r="N96" s="33" t="s">
        <v>1427</v>
      </c>
      <c r="O96" s="8">
        <v>2</v>
      </c>
      <c r="P96" s="8">
        <v>1</v>
      </c>
      <c r="Q96" s="40">
        <v>2</v>
      </c>
    </row>
    <row r="97" spans="8:17" x14ac:dyDescent="0.25">
      <c r="H97" s="13" t="s">
        <v>1425</v>
      </c>
      <c r="I97" s="8">
        <v>4</v>
      </c>
      <c r="J97" s="8">
        <v>1</v>
      </c>
      <c r="K97" s="8">
        <v>4</v>
      </c>
      <c r="L97" s="16" t="s">
        <v>1465</v>
      </c>
      <c r="N97" s="33" t="s">
        <v>1428</v>
      </c>
      <c r="O97" s="8">
        <v>4</v>
      </c>
      <c r="P97" s="8">
        <v>1</v>
      </c>
      <c r="Q97" s="40">
        <v>4</v>
      </c>
    </row>
    <row r="98" spans="8:17" x14ac:dyDescent="0.25">
      <c r="H98" s="13" t="s">
        <v>1429</v>
      </c>
      <c r="I98" s="8" t="s">
        <v>648</v>
      </c>
      <c r="J98" s="8" t="s">
        <v>648</v>
      </c>
      <c r="K98" s="8" t="s">
        <v>648</v>
      </c>
      <c r="L98" s="16" t="s">
        <v>1466</v>
      </c>
      <c r="N98" s="33" t="s">
        <v>1430</v>
      </c>
      <c r="O98" s="20">
        <v>1</v>
      </c>
      <c r="P98" s="20">
        <v>1</v>
      </c>
      <c r="Q98" s="35">
        <v>1</v>
      </c>
    </row>
    <row r="99" spans="8:17" x14ac:dyDescent="0.25">
      <c r="H99" s="13" t="s">
        <v>1431</v>
      </c>
      <c r="I99" s="8" t="s">
        <v>1432</v>
      </c>
      <c r="J99" s="8" t="s">
        <v>1432</v>
      </c>
      <c r="K99" s="8" t="s">
        <v>1432</v>
      </c>
      <c r="L99" s="16" t="s">
        <v>1467</v>
      </c>
      <c r="N99" s="33" t="s">
        <v>1433</v>
      </c>
      <c r="O99" s="20">
        <v>2</v>
      </c>
      <c r="P99" s="20">
        <v>2</v>
      </c>
      <c r="Q99" s="35">
        <v>2</v>
      </c>
    </row>
    <row r="100" spans="8:17" x14ac:dyDescent="0.25">
      <c r="H100" s="13" t="s">
        <v>1434</v>
      </c>
      <c r="I100" s="8">
        <v>2</v>
      </c>
      <c r="J100" s="8">
        <v>1</v>
      </c>
      <c r="K100" s="8">
        <v>2</v>
      </c>
      <c r="L100" s="16" t="s">
        <v>1465</v>
      </c>
      <c r="N100" s="33" t="s">
        <v>1435</v>
      </c>
      <c r="O100" s="20">
        <v>2</v>
      </c>
      <c r="P100" s="20">
        <v>1</v>
      </c>
      <c r="Q100" s="35">
        <v>2</v>
      </c>
    </row>
    <row r="101" spans="8:17" x14ac:dyDescent="0.25">
      <c r="H101" s="13" t="s">
        <v>1437</v>
      </c>
      <c r="I101" s="8">
        <v>2</v>
      </c>
      <c r="J101" s="8">
        <v>1</v>
      </c>
      <c r="K101" s="8">
        <v>2</v>
      </c>
      <c r="L101" s="16" t="s">
        <v>1468</v>
      </c>
      <c r="N101" s="33" t="s">
        <v>1436</v>
      </c>
      <c r="O101" s="20">
        <v>2</v>
      </c>
      <c r="P101" s="20">
        <v>1</v>
      </c>
      <c r="Q101" s="35">
        <v>2</v>
      </c>
    </row>
    <row r="102" spans="8:17" x14ac:dyDescent="0.25">
      <c r="H102" s="13" t="s">
        <v>1438</v>
      </c>
      <c r="I102" s="8">
        <v>2</v>
      </c>
      <c r="J102" s="8">
        <v>1</v>
      </c>
      <c r="K102" s="8">
        <v>2</v>
      </c>
      <c r="L102" s="16" t="s">
        <v>1468</v>
      </c>
      <c r="N102" s="33" t="s">
        <v>1439</v>
      </c>
      <c r="O102" s="20">
        <v>2</v>
      </c>
      <c r="P102" s="20">
        <v>1</v>
      </c>
      <c r="Q102" s="35">
        <v>2</v>
      </c>
    </row>
    <row r="103" spans="8:17" ht="30" x14ac:dyDescent="0.25">
      <c r="H103" s="13" t="s">
        <v>1440</v>
      </c>
      <c r="I103" s="8">
        <v>1</v>
      </c>
      <c r="J103" s="8">
        <v>1</v>
      </c>
      <c r="K103" s="8">
        <v>1</v>
      </c>
      <c r="L103" s="16" t="s">
        <v>953</v>
      </c>
      <c r="N103" s="33" t="s">
        <v>1441</v>
      </c>
      <c r="O103" s="20">
        <v>1</v>
      </c>
      <c r="P103" s="20">
        <v>1</v>
      </c>
      <c r="Q103" s="35">
        <v>1</v>
      </c>
    </row>
    <row r="104" spans="8:17" x14ac:dyDescent="0.25">
      <c r="H104" s="13" t="s">
        <v>991</v>
      </c>
      <c r="I104" s="8" t="s">
        <v>5</v>
      </c>
      <c r="J104" s="8" t="s">
        <v>5</v>
      </c>
      <c r="K104" s="8" t="s">
        <v>5</v>
      </c>
      <c r="L104" s="16" t="s">
        <v>1469</v>
      </c>
      <c r="N104" s="33" t="s">
        <v>1442</v>
      </c>
      <c r="O104" s="20">
        <v>0</v>
      </c>
      <c r="P104" s="20">
        <v>0</v>
      </c>
      <c r="Q104" s="35">
        <v>0</v>
      </c>
    </row>
    <row r="105" spans="8:17" ht="30" x14ac:dyDescent="0.25">
      <c r="H105" s="13" t="s">
        <v>1443</v>
      </c>
      <c r="I105" s="8" t="s">
        <v>5</v>
      </c>
      <c r="J105" s="8" t="s">
        <v>5</v>
      </c>
      <c r="K105" s="8" t="s">
        <v>5</v>
      </c>
      <c r="L105" s="16" t="s">
        <v>1470</v>
      </c>
      <c r="N105" s="33" t="s">
        <v>1444</v>
      </c>
      <c r="O105" s="20">
        <v>0</v>
      </c>
      <c r="P105" s="20">
        <v>0</v>
      </c>
      <c r="Q105" s="35">
        <v>0</v>
      </c>
    </row>
    <row r="106" spans="8:17" ht="30" x14ac:dyDescent="0.25">
      <c r="H106" s="13" t="s">
        <v>1445</v>
      </c>
      <c r="I106" s="8" t="s">
        <v>10</v>
      </c>
      <c r="J106" s="8" t="s">
        <v>5</v>
      </c>
      <c r="K106" s="8" t="s">
        <v>5</v>
      </c>
      <c r="L106" s="16" t="s">
        <v>1471</v>
      </c>
      <c r="N106" s="33" t="s">
        <v>1446</v>
      </c>
      <c r="O106" s="20">
        <v>1</v>
      </c>
      <c r="P106" s="20">
        <v>0</v>
      </c>
      <c r="Q106" s="35">
        <v>0</v>
      </c>
    </row>
    <row r="107" spans="8:17" ht="30" x14ac:dyDescent="0.25">
      <c r="H107" s="13" t="s">
        <v>1447</v>
      </c>
      <c r="I107" s="8" t="s">
        <v>10</v>
      </c>
      <c r="J107" s="8" t="s">
        <v>5</v>
      </c>
      <c r="K107" s="8" t="s">
        <v>5</v>
      </c>
      <c r="L107" s="16" t="s">
        <v>1472</v>
      </c>
      <c r="N107" s="33" t="s">
        <v>1448</v>
      </c>
      <c r="O107" s="20">
        <v>1</v>
      </c>
      <c r="P107" s="20">
        <v>0</v>
      </c>
      <c r="Q107" s="35">
        <v>0</v>
      </c>
    </row>
    <row r="108" spans="8:17" x14ac:dyDescent="0.25">
      <c r="H108" s="13" t="s">
        <v>1449</v>
      </c>
      <c r="I108" s="8" t="s">
        <v>10</v>
      </c>
      <c r="J108" s="8" t="s">
        <v>10</v>
      </c>
      <c r="K108" s="8" t="s">
        <v>10</v>
      </c>
      <c r="L108" s="16" t="s">
        <v>1473</v>
      </c>
      <c r="N108" s="33" t="s">
        <v>1450</v>
      </c>
      <c r="O108" s="20">
        <v>1</v>
      </c>
      <c r="P108" s="20">
        <v>1</v>
      </c>
      <c r="Q108" s="35">
        <v>1</v>
      </c>
    </row>
    <row r="109" spans="8:17" x14ac:dyDescent="0.25">
      <c r="H109" s="13" t="s">
        <v>1451</v>
      </c>
      <c r="I109" s="8" t="s">
        <v>5</v>
      </c>
      <c r="J109" s="8" t="s">
        <v>5</v>
      </c>
      <c r="K109" s="8" t="s">
        <v>5</v>
      </c>
      <c r="L109" s="16" t="s">
        <v>1474</v>
      </c>
      <c r="N109" s="33" t="s">
        <v>1452</v>
      </c>
      <c r="O109" s="20">
        <v>0</v>
      </c>
      <c r="P109" s="20">
        <v>0</v>
      </c>
      <c r="Q109" s="35">
        <v>0</v>
      </c>
    </row>
    <row r="110" spans="8:17" x14ac:dyDescent="0.25">
      <c r="H110" s="13" t="s">
        <v>1453</v>
      </c>
      <c r="I110" s="8" t="s">
        <v>5</v>
      </c>
      <c r="J110" s="8" t="s">
        <v>5</v>
      </c>
      <c r="K110" s="8" t="s">
        <v>5</v>
      </c>
      <c r="L110" s="16" t="s">
        <v>1475</v>
      </c>
      <c r="N110" s="33" t="s">
        <v>1454</v>
      </c>
      <c r="O110" s="20">
        <v>0</v>
      </c>
      <c r="P110" s="20">
        <v>0</v>
      </c>
      <c r="Q110" s="35">
        <v>0</v>
      </c>
    </row>
    <row r="111" spans="8:17" x14ac:dyDescent="0.25">
      <c r="H111" s="13" t="s">
        <v>1455</v>
      </c>
      <c r="I111" s="8" t="s">
        <v>5</v>
      </c>
      <c r="J111" s="8" t="s">
        <v>5</v>
      </c>
      <c r="K111" s="8" t="s">
        <v>5</v>
      </c>
      <c r="L111" s="16" t="s">
        <v>1475</v>
      </c>
      <c r="N111" s="33" t="s">
        <v>1456</v>
      </c>
      <c r="O111" s="20">
        <v>0</v>
      </c>
      <c r="P111" s="20">
        <v>0</v>
      </c>
      <c r="Q111" s="35">
        <v>0</v>
      </c>
    </row>
    <row r="112" spans="8:17" x14ac:dyDescent="0.25">
      <c r="H112" s="13" t="s">
        <v>1457</v>
      </c>
      <c r="I112" s="8" t="s">
        <v>5</v>
      </c>
      <c r="J112" s="8" t="s">
        <v>5</v>
      </c>
      <c r="K112" s="8" t="s">
        <v>5</v>
      </c>
      <c r="L112" s="16" t="s">
        <v>1475</v>
      </c>
      <c r="N112" s="33" t="s">
        <v>1460</v>
      </c>
      <c r="O112" s="20">
        <v>0</v>
      </c>
      <c r="P112" s="20">
        <v>0</v>
      </c>
      <c r="Q112" s="35">
        <v>0</v>
      </c>
    </row>
    <row r="113" spans="8:17" x14ac:dyDescent="0.25">
      <c r="H113" s="13" t="s">
        <v>1458</v>
      </c>
      <c r="I113" s="8" t="s">
        <v>5</v>
      </c>
      <c r="J113" s="8" t="s">
        <v>5</v>
      </c>
      <c r="K113" s="8" t="s">
        <v>5</v>
      </c>
      <c r="L113" s="16" t="s">
        <v>1475</v>
      </c>
      <c r="N113" s="33" t="s">
        <v>1461</v>
      </c>
      <c r="O113" s="20">
        <v>0</v>
      </c>
      <c r="P113" s="20">
        <v>0</v>
      </c>
      <c r="Q113" s="35">
        <v>0</v>
      </c>
    </row>
    <row r="114" spans="8:17" ht="15.75" thickBot="1" x14ac:dyDescent="0.3">
      <c r="H114" s="14" t="s">
        <v>1459</v>
      </c>
      <c r="I114" s="17" t="s">
        <v>5</v>
      </c>
      <c r="J114" s="17" t="s">
        <v>5</v>
      </c>
      <c r="K114" s="17" t="s">
        <v>5</v>
      </c>
      <c r="L114" s="18" t="s">
        <v>1475</v>
      </c>
      <c r="N114" s="34" t="s">
        <v>1462</v>
      </c>
      <c r="O114" s="22">
        <v>0</v>
      </c>
      <c r="P114" s="22">
        <v>0</v>
      </c>
      <c r="Q114" s="36">
        <v>0</v>
      </c>
    </row>
  </sheetData>
  <pageMargins left="0.7" right="0.7" top="0.75" bottom="0.75" header="0.3" footer="0.3"/>
  <pageSetup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53"/>
  <sheetViews>
    <sheetView workbookViewId="0"/>
  </sheetViews>
  <sheetFormatPr defaultRowHeight="15" x14ac:dyDescent="0.25"/>
  <cols>
    <col min="1" max="1" width="24.7109375" style="1" customWidth="1"/>
    <col min="2" max="2" width="20.140625" style="1" customWidth="1"/>
    <col min="3" max="3" width="21.7109375" style="1" customWidth="1"/>
    <col min="4" max="4" width="25" style="1" customWidth="1"/>
    <col min="5" max="5" width="16.85546875" style="1" customWidth="1"/>
    <col min="6" max="6" width="42.42578125" style="1" customWidth="1"/>
  </cols>
  <sheetData>
    <row r="1" spans="1:6" s="1" customFormat="1" ht="31.5" x14ac:dyDescent="0.25">
      <c r="A1" s="9" t="s">
        <v>717</v>
      </c>
      <c r="B1" s="15" t="s">
        <v>727</v>
      </c>
      <c r="C1" s="15" t="s">
        <v>726</v>
      </c>
      <c r="D1" s="15" t="s">
        <v>720</v>
      </c>
      <c r="E1" s="15" t="s">
        <v>740</v>
      </c>
      <c r="F1" s="10" t="s">
        <v>718</v>
      </c>
    </row>
    <row r="2" spans="1:6" ht="45" x14ac:dyDescent="0.25">
      <c r="A2" s="13" t="s">
        <v>721</v>
      </c>
      <c r="B2" s="48" t="s">
        <v>724</v>
      </c>
      <c r="C2" s="48" t="s">
        <v>729</v>
      </c>
      <c r="D2" s="48" t="s">
        <v>857</v>
      </c>
      <c r="E2" s="48" t="s">
        <v>741</v>
      </c>
      <c r="F2" s="16" t="s">
        <v>728</v>
      </c>
    </row>
    <row r="3" spans="1:6" ht="45" x14ac:dyDescent="0.25">
      <c r="A3" s="13" t="s">
        <v>733</v>
      </c>
      <c r="B3" s="48" t="s">
        <v>724</v>
      </c>
      <c r="C3" s="48" t="s">
        <v>735</v>
      </c>
      <c r="D3" s="48" t="s">
        <v>730</v>
      </c>
      <c r="E3" s="48" t="s">
        <v>738</v>
      </c>
      <c r="F3" s="16" t="s">
        <v>776</v>
      </c>
    </row>
    <row r="4" spans="1:6" ht="45" x14ac:dyDescent="0.25">
      <c r="A4" s="13" t="s">
        <v>734</v>
      </c>
      <c r="B4" s="48" t="s">
        <v>724</v>
      </c>
      <c r="C4" s="48" t="s">
        <v>736</v>
      </c>
      <c r="D4" s="48" t="s">
        <v>730</v>
      </c>
      <c r="E4" s="48" t="s">
        <v>738</v>
      </c>
      <c r="F4" s="16" t="s">
        <v>737</v>
      </c>
    </row>
    <row r="5" spans="1:6" ht="45" x14ac:dyDescent="0.25">
      <c r="A5" s="13" t="s">
        <v>826</v>
      </c>
      <c r="B5" s="48" t="s">
        <v>724</v>
      </c>
      <c r="C5" s="48" t="s">
        <v>827</v>
      </c>
      <c r="D5" s="48" t="s">
        <v>730</v>
      </c>
      <c r="E5" s="48" t="s">
        <v>777</v>
      </c>
      <c r="F5" s="16" t="s">
        <v>842</v>
      </c>
    </row>
    <row r="6" spans="1:6" ht="45" x14ac:dyDescent="0.25">
      <c r="A6" s="13" t="s">
        <v>719</v>
      </c>
      <c r="B6" s="48" t="s">
        <v>724</v>
      </c>
      <c r="C6" s="48" t="s">
        <v>723</v>
      </c>
      <c r="D6" s="48" t="s">
        <v>857</v>
      </c>
      <c r="E6" s="48" t="s">
        <v>739</v>
      </c>
      <c r="F6" s="16" t="s">
        <v>725</v>
      </c>
    </row>
    <row r="7" spans="1:6" x14ac:dyDescent="0.25">
      <c r="A7" s="13" t="s">
        <v>722</v>
      </c>
      <c r="B7" s="48" t="s">
        <v>731</v>
      </c>
      <c r="C7" s="48" t="s">
        <v>723</v>
      </c>
      <c r="D7" s="48" t="s">
        <v>730</v>
      </c>
      <c r="E7" s="48" t="s">
        <v>742</v>
      </c>
      <c r="F7" s="16" t="s">
        <v>732</v>
      </c>
    </row>
    <row r="8" spans="1:6" x14ac:dyDescent="0.25">
      <c r="A8" s="13" t="s">
        <v>843</v>
      </c>
      <c r="B8" s="48" t="s">
        <v>744</v>
      </c>
      <c r="C8" s="48" t="s">
        <v>743</v>
      </c>
      <c r="D8" s="48" t="s">
        <v>730</v>
      </c>
      <c r="E8" s="48" t="s">
        <v>775</v>
      </c>
      <c r="F8" s="16" t="s">
        <v>745</v>
      </c>
    </row>
    <row r="9" spans="1:6" x14ac:dyDescent="0.25">
      <c r="A9" s="13" t="s">
        <v>844</v>
      </c>
      <c r="B9" s="48" t="s">
        <v>743</v>
      </c>
      <c r="C9" s="48" t="s">
        <v>744</v>
      </c>
      <c r="D9" s="48" t="s">
        <v>730</v>
      </c>
      <c r="E9" s="48" t="s">
        <v>775</v>
      </c>
      <c r="F9" s="16" t="s">
        <v>746</v>
      </c>
    </row>
    <row r="10" spans="1:6" x14ac:dyDescent="0.25">
      <c r="A10" s="13" t="s">
        <v>845</v>
      </c>
      <c r="B10" s="48" t="s">
        <v>743</v>
      </c>
      <c r="C10" s="48" t="s">
        <v>744</v>
      </c>
      <c r="D10" s="48" t="s">
        <v>730</v>
      </c>
      <c r="E10" s="48" t="s">
        <v>775</v>
      </c>
      <c r="F10" s="16" t="s">
        <v>747</v>
      </c>
    </row>
    <row r="11" spans="1:6" x14ac:dyDescent="0.25">
      <c r="A11" s="13" t="s">
        <v>846</v>
      </c>
      <c r="B11" s="48" t="s">
        <v>748</v>
      </c>
      <c r="C11" s="48" t="s">
        <v>749</v>
      </c>
      <c r="D11" s="48" t="s">
        <v>730</v>
      </c>
      <c r="E11" s="48" t="s">
        <v>775</v>
      </c>
      <c r="F11" s="16" t="s">
        <v>745</v>
      </c>
    </row>
    <row r="12" spans="1:6" x14ac:dyDescent="0.25">
      <c r="A12" s="13" t="s">
        <v>847</v>
      </c>
      <c r="B12" s="48" t="s">
        <v>749</v>
      </c>
      <c r="C12" s="48" t="s">
        <v>748</v>
      </c>
      <c r="D12" s="48" t="s">
        <v>730</v>
      </c>
      <c r="E12" s="48" t="s">
        <v>775</v>
      </c>
      <c r="F12" s="16" t="s">
        <v>750</v>
      </c>
    </row>
    <row r="13" spans="1:6" x14ac:dyDescent="0.25">
      <c r="A13" s="13" t="s">
        <v>848</v>
      </c>
      <c r="B13" s="48" t="s">
        <v>749</v>
      </c>
      <c r="C13" s="48" t="s">
        <v>748</v>
      </c>
      <c r="D13" s="48" t="s">
        <v>730</v>
      </c>
      <c r="E13" s="48" t="s">
        <v>775</v>
      </c>
      <c r="F13" s="16" t="s">
        <v>751</v>
      </c>
    </row>
    <row r="14" spans="1:6" x14ac:dyDescent="0.25">
      <c r="A14" s="13" t="s">
        <v>752</v>
      </c>
      <c r="B14" s="48" t="s">
        <v>724</v>
      </c>
      <c r="C14" s="48" t="s">
        <v>753</v>
      </c>
      <c r="D14" s="48" t="s">
        <v>730</v>
      </c>
      <c r="E14" s="48" t="s">
        <v>777</v>
      </c>
      <c r="F14" s="16" t="s">
        <v>754</v>
      </c>
    </row>
    <row r="15" spans="1:6" ht="30" x14ac:dyDescent="0.25">
      <c r="A15" s="13" t="s">
        <v>755</v>
      </c>
      <c r="B15" s="48" t="s">
        <v>756</v>
      </c>
      <c r="C15" s="48" t="s">
        <v>757</v>
      </c>
      <c r="D15" s="48" t="s">
        <v>758</v>
      </c>
      <c r="E15" s="48" t="s">
        <v>778</v>
      </c>
      <c r="F15" s="16" t="s">
        <v>759</v>
      </c>
    </row>
    <row r="16" spans="1:6" x14ac:dyDescent="0.25">
      <c r="A16" s="13" t="s">
        <v>760</v>
      </c>
      <c r="B16" s="48" t="s">
        <v>762</v>
      </c>
      <c r="C16" s="48" t="s">
        <v>763</v>
      </c>
      <c r="D16" s="48" t="s">
        <v>730</v>
      </c>
      <c r="E16" s="48"/>
      <c r="F16" s="16" t="s">
        <v>764</v>
      </c>
    </row>
    <row r="17" spans="1:6" x14ac:dyDescent="0.25">
      <c r="A17" s="13" t="s">
        <v>761</v>
      </c>
      <c r="B17" s="48" t="s">
        <v>762</v>
      </c>
      <c r="C17" s="48" t="s">
        <v>763</v>
      </c>
      <c r="D17" s="48" t="s">
        <v>730</v>
      </c>
      <c r="E17" s="48"/>
      <c r="F17" s="16" t="s">
        <v>764</v>
      </c>
    </row>
    <row r="18" spans="1:6" x14ac:dyDescent="0.25">
      <c r="A18" s="13" t="s">
        <v>765</v>
      </c>
      <c r="B18" s="48" t="s">
        <v>762</v>
      </c>
      <c r="C18" s="48" t="s">
        <v>763</v>
      </c>
      <c r="D18" s="48" t="s">
        <v>730</v>
      </c>
      <c r="E18" s="48"/>
      <c r="F18" s="16" t="s">
        <v>766</v>
      </c>
    </row>
    <row r="19" spans="1:6" x14ac:dyDescent="0.25">
      <c r="A19" s="13" t="s">
        <v>767</v>
      </c>
      <c r="B19" s="48" t="s">
        <v>762</v>
      </c>
      <c r="C19" s="48" t="s">
        <v>763</v>
      </c>
      <c r="D19" s="48" t="s">
        <v>730</v>
      </c>
      <c r="E19" s="48"/>
      <c r="F19" s="16" t="s">
        <v>766</v>
      </c>
    </row>
    <row r="20" spans="1:6" x14ac:dyDescent="0.25">
      <c r="A20" s="13" t="s">
        <v>768</v>
      </c>
      <c r="B20" s="48" t="s">
        <v>762</v>
      </c>
      <c r="C20" s="48" t="s">
        <v>763</v>
      </c>
      <c r="D20" s="48" t="s">
        <v>730</v>
      </c>
      <c r="E20" s="48"/>
      <c r="F20" s="16" t="s">
        <v>766</v>
      </c>
    </row>
    <row r="21" spans="1:6" x14ac:dyDescent="0.25">
      <c r="A21" s="13" t="s">
        <v>769</v>
      </c>
      <c r="B21" s="48" t="s">
        <v>762</v>
      </c>
      <c r="C21" s="48" t="s">
        <v>763</v>
      </c>
      <c r="D21" s="48" t="s">
        <v>730</v>
      </c>
      <c r="E21" s="48"/>
      <c r="F21" s="16" t="s">
        <v>766</v>
      </c>
    </row>
    <row r="22" spans="1:6" x14ac:dyDescent="0.25">
      <c r="A22" s="13" t="s">
        <v>871</v>
      </c>
      <c r="B22" s="48" t="s">
        <v>770</v>
      </c>
      <c r="C22" s="48" t="s">
        <v>762</v>
      </c>
      <c r="D22" s="48" t="s">
        <v>730</v>
      </c>
      <c r="E22" s="48" t="s">
        <v>771</v>
      </c>
      <c r="F22" s="16" t="s">
        <v>772</v>
      </c>
    </row>
    <row r="23" spans="1:6" x14ac:dyDescent="0.25">
      <c r="A23" s="13" t="s">
        <v>872</v>
      </c>
      <c r="B23" s="48" t="s">
        <v>762</v>
      </c>
      <c r="C23" s="48" t="s">
        <v>770</v>
      </c>
      <c r="D23" s="48" t="s">
        <v>730</v>
      </c>
      <c r="E23" s="48" t="s">
        <v>771</v>
      </c>
      <c r="F23" s="16" t="s">
        <v>773</v>
      </c>
    </row>
    <row r="24" spans="1:6" x14ac:dyDescent="0.25">
      <c r="A24" s="13" t="s">
        <v>873</v>
      </c>
      <c r="B24" s="48" t="s">
        <v>762</v>
      </c>
      <c r="C24" s="48" t="s">
        <v>770</v>
      </c>
      <c r="D24" s="48" t="s">
        <v>730</v>
      </c>
      <c r="E24" s="48" t="s">
        <v>771</v>
      </c>
      <c r="F24" s="16" t="s">
        <v>774</v>
      </c>
    </row>
    <row r="25" spans="1:6" x14ac:dyDescent="0.25">
      <c r="A25" s="13" t="s">
        <v>781</v>
      </c>
      <c r="B25" s="48" t="s">
        <v>724</v>
      </c>
      <c r="C25" s="48" t="s">
        <v>779</v>
      </c>
      <c r="D25" s="48" t="s">
        <v>730</v>
      </c>
      <c r="E25" s="48" t="s">
        <v>784</v>
      </c>
      <c r="F25" s="16" t="s">
        <v>780</v>
      </c>
    </row>
    <row r="26" spans="1:6" ht="30" x14ac:dyDescent="0.25">
      <c r="A26" s="13" t="s">
        <v>782</v>
      </c>
      <c r="B26" s="48" t="s">
        <v>783</v>
      </c>
      <c r="C26" s="48" t="s">
        <v>779</v>
      </c>
      <c r="D26" s="48" t="s">
        <v>730</v>
      </c>
      <c r="E26" s="48" t="s">
        <v>785</v>
      </c>
      <c r="F26" s="16" t="s">
        <v>786</v>
      </c>
    </row>
    <row r="27" spans="1:6" ht="30" x14ac:dyDescent="0.25">
      <c r="A27" s="13" t="s">
        <v>787</v>
      </c>
      <c r="B27" s="48" t="s">
        <v>783</v>
      </c>
      <c r="C27" s="48" t="s">
        <v>779</v>
      </c>
      <c r="D27" s="48" t="s">
        <v>730</v>
      </c>
      <c r="E27" s="48" t="s">
        <v>785</v>
      </c>
      <c r="F27" s="16" t="s">
        <v>786</v>
      </c>
    </row>
    <row r="28" spans="1:6" x14ac:dyDescent="0.25">
      <c r="A28" s="13" t="s">
        <v>788</v>
      </c>
      <c r="B28" s="48" t="s">
        <v>779</v>
      </c>
      <c r="C28" s="48" t="s">
        <v>783</v>
      </c>
      <c r="D28" s="48" t="s">
        <v>730</v>
      </c>
      <c r="E28" s="48" t="s">
        <v>785</v>
      </c>
      <c r="F28" s="16" t="s">
        <v>789</v>
      </c>
    </row>
    <row r="29" spans="1:6" x14ac:dyDescent="0.25">
      <c r="A29" s="13" t="s">
        <v>790</v>
      </c>
      <c r="B29" s="48" t="s">
        <v>724</v>
      </c>
      <c r="C29" s="48" t="s">
        <v>791</v>
      </c>
      <c r="D29" s="48" t="s">
        <v>730</v>
      </c>
      <c r="E29" s="48" t="s">
        <v>777</v>
      </c>
      <c r="F29" s="16" t="s">
        <v>793</v>
      </c>
    </row>
    <row r="30" spans="1:6" x14ac:dyDescent="0.25">
      <c r="A30" s="13" t="s">
        <v>849</v>
      </c>
      <c r="B30" s="48" t="s">
        <v>791</v>
      </c>
      <c r="C30" s="48" t="s">
        <v>783</v>
      </c>
      <c r="D30" s="48" t="s">
        <v>730</v>
      </c>
      <c r="E30" s="48" t="s">
        <v>792</v>
      </c>
      <c r="F30" s="16" t="s">
        <v>794</v>
      </c>
    </row>
    <row r="31" spans="1:6" x14ac:dyDescent="0.25">
      <c r="A31" s="13" t="s">
        <v>795</v>
      </c>
      <c r="B31" s="48" t="s">
        <v>724</v>
      </c>
      <c r="C31" s="48" t="s">
        <v>798</v>
      </c>
      <c r="D31" s="48" t="s">
        <v>730</v>
      </c>
      <c r="E31" s="48" t="s">
        <v>777</v>
      </c>
      <c r="F31" s="16" t="s">
        <v>801</v>
      </c>
    </row>
    <row r="32" spans="1:6" x14ac:dyDescent="0.25">
      <c r="A32" s="13" t="s">
        <v>850</v>
      </c>
      <c r="B32" s="48" t="s">
        <v>798</v>
      </c>
      <c r="C32" s="48" t="s">
        <v>783</v>
      </c>
      <c r="D32" s="48" t="s">
        <v>730</v>
      </c>
      <c r="E32" s="48" t="s">
        <v>792</v>
      </c>
      <c r="F32" s="16" t="s">
        <v>802</v>
      </c>
    </row>
    <row r="33" spans="1:6" x14ac:dyDescent="0.25">
      <c r="A33" s="13" t="s">
        <v>796</v>
      </c>
      <c r="B33" s="48" t="s">
        <v>724</v>
      </c>
      <c r="C33" s="48" t="s">
        <v>799</v>
      </c>
      <c r="D33" s="48" t="s">
        <v>730</v>
      </c>
      <c r="E33" s="48" t="s">
        <v>777</v>
      </c>
      <c r="F33" s="16" t="s">
        <v>803</v>
      </c>
    </row>
    <row r="34" spans="1:6" x14ac:dyDescent="0.25">
      <c r="A34" s="13" t="s">
        <v>851</v>
      </c>
      <c r="B34" s="48" t="s">
        <v>799</v>
      </c>
      <c r="C34" s="48" t="s">
        <v>783</v>
      </c>
      <c r="D34" s="48" t="s">
        <v>730</v>
      </c>
      <c r="E34" s="48" t="s">
        <v>792</v>
      </c>
      <c r="F34" s="16" t="s">
        <v>804</v>
      </c>
    </row>
    <row r="35" spans="1:6" x14ac:dyDescent="0.25">
      <c r="A35" s="13" t="s">
        <v>797</v>
      </c>
      <c r="B35" s="48" t="s">
        <v>724</v>
      </c>
      <c r="C35" s="48" t="s">
        <v>800</v>
      </c>
      <c r="D35" s="48" t="s">
        <v>730</v>
      </c>
      <c r="E35" s="48" t="s">
        <v>777</v>
      </c>
      <c r="F35" s="16" t="s">
        <v>805</v>
      </c>
    </row>
    <row r="36" spans="1:6" x14ac:dyDescent="0.25">
      <c r="A36" s="13" t="s">
        <v>852</v>
      </c>
      <c r="B36" s="48" t="s">
        <v>800</v>
      </c>
      <c r="C36" s="48" t="s">
        <v>783</v>
      </c>
      <c r="D36" s="48" t="s">
        <v>730</v>
      </c>
      <c r="E36" s="48" t="s">
        <v>792</v>
      </c>
      <c r="F36" s="16" t="s">
        <v>806</v>
      </c>
    </row>
    <row r="37" spans="1:6" x14ac:dyDescent="0.25">
      <c r="A37" s="13" t="s">
        <v>808</v>
      </c>
      <c r="B37" s="48" t="s">
        <v>724</v>
      </c>
      <c r="C37" s="48" t="s">
        <v>809</v>
      </c>
      <c r="D37" s="48" t="s">
        <v>730</v>
      </c>
      <c r="E37" s="48" t="s">
        <v>777</v>
      </c>
      <c r="F37" s="16" t="s">
        <v>816</v>
      </c>
    </row>
    <row r="38" spans="1:6" x14ac:dyDescent="0.25">
      <c r="A38" s="13" t="s">
        <v>853</v>
      </c>
      <c r="B38" s="48" t="s">
        <v>809</v>
      </c>
      <c r="C38" s="48" t="s">
        <v>783</v>
      </c>
      <c r="D38" s="48" t="s">
        <v>730</v>
      </c>
      <c r="E38" s="48" t="s">
        <v>777</v>
      </c>
      <c r="F38" s="16" t="s">
        <v>817</v>
      </c>
    </row>
    <row r="39" spans="1:6" x14ac:dyDescent="0.25">
      <c r="A39" s="13" t="s">
        <v>810</v>
      </c>
      <c r="B39" s="48" t="s">
        <v>724</v>
      </c>
      <c r="C39" s="48" t="s">
        <v>815</v>
      </c>
      <c r="D39" s="48" t="s">
        <v>730</v>
      </c>
      <c r="E39" s="48" t="s">
        <v>777</v>
      </c>
      <c r="F39" s="16" t="s">
        <v>818</v>
      </c>
    </row>
    <row r="40" spans="1:6" x14ac:dyDescent="0.25">
      <c r="A40" s="13" t="s">
        <v>854</v>
      </c>
      <c r="B40" s="48" t="s">
        <v>815</v>
      </c>
      <c r="C40" s="48" t="s">
        <v>783</v>
      </c>
      <c r="D40" s="48" t="s">
        <v>730</v>
      </c>
      <c r="E40" s="48" t="s">
        <v>777</v>
      </c>
      <c r="F40" s="16" t="s">
        <v>819</v>
      </c>
    </row>
    <row r="41" spans="1:6" x14ac:dyDescent="0.25">
      <c r="A41" s="13" t="s">
        <v>811</v>
      </c>
      <c r="B41" s="48" t="s">
        <v>724</v>
      </c>
      <c r="C41" s="48" t="s">
        <v>814</v>
      </c>
      <c r="D41" s="48" t="s">
        <v>730</v>
      </c>
      <c r="E41" s="48" t="s">
        <v>777</v>
      </c>
      <c r="F41" s="16" t="s">
        <v>820</v>
      </c>
    </row>
    <row r="42" spans="1:6" x14ac:dyDescent="0.25">
      <c r="A42" s="13" t="s">
        <v>855</v>
      </c>
      <c r="B42" s="48" t="s">
        <v>814</v>
      </c>
      <c r="C42" s="48" t="s">
        <v>783</v>
      </c>
      <c r="D42" s="48" t="s">
        <v>730</v>
      </c>
      <c r="E42" s="48" t="s">
        <v>777</v>
      </c>
      <c r="F42" s="16" t="s">
        <v>821</v>
      </c>
    </row>
    <row r="43" spans="1:6" x14ac:dyDescent="0.25">
      <c r="A43" s="13" t="s">
        <v>812</v>
      </c>
      <c r="B43" s="48" t="s">
        <v>724</v>
      </c>
      <c r="C43" s="48" t="s">
        <v>813</v>
      </c>
      <c r="D43" s="48" t="s">
        <v>730</v>
      </c>
      <c r="E43" s="48" t="s">
        <v>777</v>
      </c>
      <c r="F43" s="16" t="s">
        <v>822</v>
      </c>
    </row>
    <row r="44" spans="1:6" x14ac:dyDescent="0.25">
      <c r="A44" s="13" t="s">
        <v>856</v>
      </c>
      <c r="B44" s="48" t="s">
        <v>813</v>
      </c>
      <c r="C44" s="48" t="s">
        <v>783</v>
      </c>
      <c r="D44" s="48" t="s">
        <v>730</v>
      </c>
      <c r="E44" s="48" t="s">
        <v>777</v>
      </c>
      <c r="F44" s="16" t="s">
        <v>823</v>
      </c>
    </row>
    <row r="45" spans="1:6" x14ac:dyDescent="0.25">
      <c r="A45" s="13" t="s">
        <v>824</v>
      </c>
      <c r="B45" s="48" t="s">
        <v>724</v>
      </c>
      <c r="C45" s="48" t="s">
        <v>825</v>
      </c>
      <c r="D45" s="48" t="s">
        <v>858</v>
      </c>
      <c r="E45" s="48" t="s">
        <v>777</v>
      </c>
      <c r="F45" s="16" t="s">
        <v>837</v>
      </c>
    </row>
    <row r="46" spans="1:6" x14ac:dyDescent="0.25">
      <c r="A46" s="13" t="s">
        <v>828</v>
      </c>
      <c r="B46" s="48" t="s">
        <v>724</v>
      </c>
      <c r="C46" s="48" t="s">
        <v>831</v>
      </c>
      <c r="D46" s="48" t="s">
        <v>861</v>
      </c>
      <c r="E46" s="48" t="s">
        <v>777</v>
      </c>
      <c r="F46" s="16" t="s">
        <v>834</v>
      </c>
    </row>
    <row r="47" spans="1:6" x14ac:dyDescent="0.25">
      <c r="A47" s="13" t="s">
        <v>829</v>
      </c>
      <c r="B47" s="48" t="s">
        <v>724</v>
      </c>
      <c r="C47" s="48" t="s">
        <v>832</v>
      </c>
      <c r="D47" s="48" t="s">
        <v>860</v>
      </c>
      <c r="E47" s="48" t="s">
        <v>777</v>
      </c>
      <c r="F47" s="16" t="s">
        <v>835</v>
      </c>
    </row>
    <row r="48" spans="1:6" x14ac:dyDescent="0.25">
      <c r="A48" s="13" t="s">
        <v>830</v>
      </c>
      <c r="B48" s="48" t="s">
        <v>724</v>
      </c>
      <c r="C48" s="48" t="s">
        <v>833</v>
      </c>
      <c r="D48" s="48" t="s">
        <v>859</v>
      </c>
      <c r="E48" s="48" t="s">
        <v>777</v>
      </c>
      <c r="F48" s="16" t="s">
        <v>836</v>
      </c>
    </row>
    <row r="49" spans="1:6" x14ac:dyDescent="0.25">
      <c r="A49" s="13" t="s">
        <v>839</v>
      </c>
      <c r="B49" s="48" t="s">
        <v>724</v>
      </c>
      <c r="C49" s="48" t="s">
        <v>840</v>
      </c>
      <c r="D49" s="48" t="s">
        <v>730</v>
      </c>
      <c r="E49" s="48" t="s">
        <v>792</v>
      </c>
      <c r="F49" s="16" t="s">
        <v>841</v>
      </c>
    </row>
    <row r="50" spans="1:6" ht="45" x14ac:dyDescent="0.25">
      <c r="A50" s="13" t="s">
        <v>932</v>
      </c>
      <c r="B50" s="48" t="s">
        <v>724</v>
      </c>
      <c r="C50" s="48" t="s">
        <v>933</v>
      </c>
      <c r="D50" s="48" t="s">
        <v>862</v>
      </c>
      <c r="E50" s="48" t="s">
        <v>777</v>
      </c>
      <c r="F50" s="16" t="s">
        <v>934</v>
      </c>
    </row>
    <row r="51" spans="1:6" ht="60" x14ac:dyDescent="0.25">
      <c r="A51" s="13" t="s">
        <v>868</v>
      </c>
      <c r="B51" s="48" t="s">
        <v>724</v>
      </c>
      <c r="C51" s="48" t="s">
        <v>869</v>
      </c>
      <c r="D51" s="48" t="s">
        <v>730</v>
      </c>
      <c r="E51" s="48" t="s">
        <v>865</v>
      </c>
      <c r="F51" s="16" t="s">
        <v>870</v>
      </c>
    </row>
    <row r="52" spans="1:6" x14ac:dyDescent="0.25">
      <c r="A52" s="50" t="s">
        <v>935</v>
      </c>
      <c r="B52" s="48" t="s">
        <v>724</v>
      </c>
      <c r="C52" s="51" t="s">
        <v>936</v>
      </c>
      <c r="D52" s="51" t="s">
        <v>730</v>
      </c>
      <c r="E52" s="51" t="s">
        <v>777</v>
      </c>
      <c r="F52" s="52" t="s">
        <v>937</v>
      </c>
    </row>
    <row r="53" spans="1:6" ht="15.75" thickBot="1" x14ac:dyDescent="0.3">
      <c r="A53" s="14" t="s">
        <v>867</v>
      </c>
      <c r="B53" s="49" t="s">
        <v>724</v>
      </c>
      <c r="C53" s="49" t="s">
        <v>863</v>
      </c>
      <c r="D53" s="49" t="s">
        <v>864</v>
      </c>
      <c r="E53" s="49" t="s">
        <v>865</v>
      </c>
      <c r="F53" s="18" t="s">
        <v>866</v>
      </c>
    </row>
  </sheetData>
  <pageMargins left="0.7" right="0.7" top="0.75" bottom="0.75" header="0.3" footer="0.3"/>
  <pageSetup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D10"/>
  <sheetViews>
    <sheetView workbookViewId="0"/>
  </sheetViews>
  <sheetFormatPr defaultRowHeight="15" x14ac:dyDescent="0.25"/>
  <cols>
    <col min="1" max="1" width="19.85546875" customWidth="1"/>
    <col min="2" max="2" width="13.85546875" customWidth="1"/>
    <col min="3" max="3" width="12.7109375" customWidth="1"/>
    <col min="4" max="4" width="34.5703125" customWidth="1"/>
  </cols>
  <sheetData>
    <row r="1" spans="1:4" ht="15.75" x14ac:dyDescent="0.25">
      <c r="A1" s="9" t="s">
        <v>938</v>
      </c>
      <c r="B1" s="15" t="s">
        <v>727</v>
      </c>
      <c r="C1" s="15" t="s">
        <v>726</v>
      </c>
      <c r="D1" s="10" t="s">
        <v>718</v>
      </c>
    </row>
    <row r="2" spans="1:4" x14ac:dyDescent="0.25">
      <c r="A2" s="13" t="s">
        <v>1191</v>
      </c>
      <c r="B2" s="48" t="s">
        <v>1156</v>
      </c>
      <c r="C2" s="48" t="s">
        <v>1157</v>
      </c>
      <c r="D2" s="16" t="s">
        <v>1190</v>
      </c>
    </row>
    <row r="3" spans="1:4" ht="30" x14ac:dyDescent="0.25">
      <c r="A3" s="13" t="s">
        <v>1163</v>
      </c>
      <c r="B3" s="48" t="s">
        <v>1158</v>
      </c>
      <c r="C3" s="48" t="s">
        <v>1157</v>
      </c>
      <c r="D3" s="16" t="s">
        <v>1164</v>
      </c>
    </row>
    <row r="4" spans="1:4" ht="45" x14ac:dyDescent="0.25">
      <c r="A4" s="13" t="s">
        <v>939</v>
      </c>
      <c r="B4" s="48" t="s">
        <v>1158</v>
      </c>
      <c r="C4" s="48" t="s">
        <v>1161</v>
      </c>
      <c r="D4" s="16" t="s">
        <v>1162</v>
      </c>
    </row>
    <row r="5" spans="1:4" ht="30" x14ac:dyDescent="0.25">
      <c r="A5" s="13" t="s">
        <v>1397</v>
      </c>
      <c r="B5" s="48" t="s">
        <v>1158</v>
      </c>
      <c r="C5" s="48" t="s">
        <v>1398</v>
      </c>
      <c r="D5" s="16" t="s">
        <v>1399</v>
      </c>
    </row>
    <row r="6" spans="1:4" ht="30" x14ac:dyDescent="0.25">
      <c r="A6" s="13" t="s">
        <v>940</v>
      </c>
      <c r="B6" s="48" t="s">
        <v>1158</v>
      </c>
      <c r="C6" s="48" t="s">
        <v>1165</v>
      </c>
      <c r="D6" s="16" t="s">
        <v>1167</v>
      </c>
    </row>
    <row r="7" spans="1:4" ht="30" x14ac:dyDescent="0.25">
      <c r="A7" s="13" t="s">
        <v>941</v>
      </c>
      <c r="B7" s="48" t="s">
        <v>1158</v>
      </c>
      <c r="C7" s="48" t="s">
        <v>1166</v>
      </c>
      <c r="D7" s="16" t="s">
        <v>1168</v>
      </c>
    </row>
    <row r="8" spans="1:4" ht="30" x14ac:dyDescent="0.25">
      <c r="A8" s="13" t="s">
        <v>942</v>
      </c>
      <c r="B8" s="48" t="s">
        <v>1158</v>
      </c>
      <c r="C8" s="48" t="s">
        <v>757</v>
      </c>
      <c r="D8" s="16" t="s">
        <v>1170</v>
      </c>
    </row>
    <row r="9" spans="1:4" ht="30" x14ac:dyDescent="0.25">
      <c r="A9" s="13" t="s">
        <v>1159</v>
      </c>
      <c r="B9" s="48" t="s">
        <v>1158</v>
      </c>
      <c r="C9" s="48" t="s">
        <v>1169</v>
      </c>
      <c r="D9" s="16" t="s">
        <v>1171</v>
      </c>
    </row>
    <row r="10" spans="1:4" ht="30.75" thickBot="1" x14ac:dyDescent="0.3">
      <c r="A10" s="14" t="s">
        <v>1160</v>
      </c>
      <c r="B10" s="49" t="s">
        <v>1158</v>
      </c>
      <c r="C10" s="49" t="s">
        <v>1172</v>
      </c>
      <c r="D10" s="18" t="s">
        <v>1173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48"/>
  <sheetViews>
    <sheetView workbookViewId="0"/>
  </sheetViews>
  <sheetFormatPr defaultRowHeight="15" x14ac:dyDescent="0.25"/>
  <cols>
    <col min="1" max="1" width="20.42578125" style="4" customWidth="1"/>
    <col min="2" max="2" width="25.85546875" style="4" customWidth="1"/>
    <col min="3" max="3" width="33" style="4" customWidth="1"/>
    <col min="5" max="5" width="19.42578125" style="4" customWidth="1"/>
    <col min="6" max="6" width="29.42578125" style="4" customWidth="1"/>
  </cols>
  <sheetData>
    <row r="1" spans="1:3" ht="31.5" x14ac:dyDescent="0.25">
      <c r="A1" s="78" t="s">
        <v>2012</v>
      </c>
      <c r="B1" s="79" t="s">
        <v>1369</v>
      </c>
      <c r="C1" s="80" t="s">
        <v>718</v>
      </c>
    </row>
    <row r="2" spans="1:3" x14ac:dyDescent="0.25">
      <c r="A2" s="73">
        <v>0</v>
      </c>
      <c r="B2" s="31" t="s">
        <v>1375</v>
      </c>
      <c r="C2" s="19" t="s">
        <v>1913</v>
      </c>
    </row>
    <row r="3" spans="1:3" x14ac:dyDescent="0.25">
      <c r="A3" s="73">
        <v>1</v>
      </c>
      <c r="B3" s="31" t="s">
        <v>1376</v>
      </c>
      <c r="C3" s="19" t="s">
        <v>1914</v>
      </c>
    </row>
    <row r="4" spans="1:3" x14ac:dyDescent="0.25">
      <c r="A4" s="73">
        <v>2</v>
      </c>
      <c r="B4" s="31" t="s">
        <v>1377</v>
      </c>
      <c r="C4" s="19" t="s">
        <v>1915</v>
      </c>
    </row>
    <row r="5" spans="1:3" x14ac:dyDescent="0.25">
      <c r="A5" s="73">
        <v>3</v>
      </c>
      <c r="B5" s="31" t="s">
        <v>1378</v>
      </c>
      <c r="C5" s="19" t="s">
        <v>1916</v>
      </c>
    </row>
    <row r="6" spans="1:3" x14ac:dyDescent="0.25">
      <c r="A6" s="73">
        <v>4</v>
      </c>
      <c r="B6" s="31" t="s">
        <v>1379</v>
      </c>
      <c r="C6" s="19" t="s">
        <v>1917</v>
      </c>
    </row>
    <row r="7" spans="1:3" x14ac:dyDescent="0.25">
      <c r="A7" s="73">
        <v>5</v>
      </c>
      <c r="B7" s="31" t="s">
        <v>1371</v>
      </c>
      <c r="C7" s="19" t="s">
        <v>1918</v>
      </c>
    </row>
    <row r="8" spans="1:3" x14ac:dyDescent="0.25">
      <c r="A8" s="73">
        <v>6</v>
      </c>
      <c r="B8" s="31" t="s">
        <v>1372</v>
      </c>
      <c r="C8" s="19" t="s">
        <v>1919</v>
      </c>
    </row>
    <row r="9" spans="1:3" x14ac:dyDescent="0.25">
      <c r="A9" s="73">
        <v>7</v>
      </c>
      <c r="B9" s="31" t="s">
        <v>1775</v>
      </c>
      <c r="C9" s="19" t="s">
        <v>1920</v>
      </c>
    </row>
    <row r="10" spans="1:3" x14ac:dyDescent="0.25">
      <c r="A10" s="73">
        <v>8</v>
      </c>
      <c r="B10" s="31" t="s">
        <v>1776</v>
      </c>
      <c r="C10" s="19" t="s">
        <v>1921</v>
      </c>
    </row>
    <row r="11" spans="1:3" x14ac:dyDescent="0.25">
      <c r="A11" s="73">
        <v>9</v>
      </c>
      <c r="B11" s="31" t="s">
        <v>1373</v>
      </c>
      <c r="C11" s="19" t="s">
        <v>1922</v>
      </c>
    </row>
    <row r="12" spans="1:3" x14ac:dyDescent="0.25">
      <c r="A12" s="73">
        <v>10</v>
      </c>
      <c r="B12" s="31" t="s">
        <v>1374</v>
      </c>
      <c r="C12" s="19" t="s">
        <v>1923</v>
      </c>
    </row>
    <row r="13" spans="1:3" x14ac:dyDescent="0.25">
      <c r="A13" s="73">
        <v>11</v>
      </c>
      <c r="B13" s="31" t="s">
        <v>1926</v>
      </c>
      <c r="C13" s="19" t="s">
        <v>1924</v>
      </c>
    </row>
    <row r="14" spans="1:3" x14ac:dyDescent="0.25">
      <c r="A14" s="73">
        <v>12</v>
      </c>
      <c r="B14" s="31" t="s">
        <v>1252</v>
      </c>
      <c r="C14" s="19" t="s">
        <v>1925</v>
      </c>
    </row>
    <row r="15" spans="1:3" ht="45" x14ac:dyDescent="0.25">
      <c r="A15" s="73" t="s">
        <v>1380</v>
      </c>
      <c r="B15" s="31" t="s">
        <v>1203</v>
      </c>
      <c r="C15" s="19" t="s">
        <v>1381</v>
      </c>
    </row>
    <row r="16" spans="1:3" x14ac:dyDescent="0.25">
      <c r="A16" s="73">
        <v>16</v>
      </c>
      <c r="B16" s="54" t="s">
        <v>1792</v>
      </c>
      <c r="C16" s="55" t="s">
        <v>1928</v>
      </c>
    </row>
    <row r="17" spans="1:6" x14ac:dyDescent="0.25">
      <c r="A17" s="73">
        <v>17</v>
      </c>
      <c r="B17" s="54" t="s">
        <v>1927</v>
      </c>
      <c r="C17" s="55" t="s">
        <v>1929</v>
      </c>
    </row>
    <row r="18" spans="1:6" ht="45.75" thickBot="1" x14ac:dyDescent="0.3">
      <c r="A18" s="74" t="s">
        <v>1909</v>
      </c>
      <c r="B18" s="76" t="s">
        <v>1203</v>
      </c>
      <c r="C18" s="77" t="s">
        <v>1382</v>
      </c>
    </row>
    <row r="19" spans="1:6" ht="15.75" thickBot="1" x14ac:dyDescent="0.3"/>
    <row r="20" spans="1:6" ht="31.5" x14ac:dyDescent="0.25">
      <c r="A20" s="78" t="s">
        <v>1370</v>
      </c>
      <c r="B20" s="79" t="s">
        <v>1369</v>
      </c>
      <c r="C20" s="80" t="s">
        <v>718</v>
      </c>
    </row>
    <row r="21" spans="1:6" x14ac:dyDescent="0.25">
      <c r="A21" s="73">
        <v>0</v>
      </c>
      <c r="B21" s="31" t="s">
        <v>1777</v>
      </c>
      <c r="C21" s="19" t="s">
        <v>1930</v>
      </c>
    </row>
    <row r="22" spans="1:6" x14ac:dyDescent="0.25">
      <c r="A22" s="73">
        <v>1</v>
      </c>
      <c r="B22" s="31" t="s">
        <v>1778</v>
      </c>
      <c r="C22" s="19" t="s">
        <v>1931</v>
      </c>
    </row>
    <row r="23" spans="1:6" x14ac:dyDescent="0.25">
      <c r="A23" s="73">
        <v>2</v>
      </c>
      <c r="B23" s="31" t="s">
        <v>1779</v>
      </c>
      <c r="C23" s="19" t="s">
        <v>1932</v>
      </c>
    </row>
    <row r="24" spans="1:6" x14ac:dyDescent="0.25">
      <c r="A24" s="73">
        <v>3</v>
      </c>
      <c r="B24" s="31" t="s">
        <v>1780</v>
      </c>
      <c r="C24" s="19" t="s">
        <v>1934</v>
      </c>
    </row>
    <row r="25" spans="1:6" x14ac:dyDescent="0.25">
      <c r="A25" s="73">
        <v>4</v>
      </c>
      <c r="B25" s="31" t="s">
        <v>1781</v>
      </c>
      <c r="C25" s="19" t="s">
        <v>1934</v>
      </c>
    </row>
    <row r="26" spans="1:6" x14ac:dyDescent="0.25">
      <c r="A26" s="73">
        <v>5</v>
      </c>
      <c r="B26" s="31" t="s">
        <v>1782</v>
      </c>
      <c r="C26" s="19" t="s">
        <v>1933</v>
      </c>
    </row>
    <row r="27" spans="1:6" x14ac:dyDescent="0.25">
      <c r="A27" s="73">
        <v>6</v>
      </c>
      <c r="B27" s="31" t="s">
        <v>1783</v>
      </c>
      <c r="C27" s="19" t="s">
        <v>1933</v>
      </c>
    </row>
    <row r="28" spans="1:6" x14ac:dyDescent="0.25">
      <c r="A28" s="73">
        <v>7</v>
      </c>
      <c r="B28" s="31" t="s">
        <v>1773</v>
      </c>
      <c r="C28" s="19" t="s">
        <v>1935</v>
      </c>
      <c r="E28" s="123"/>
      <c r="F28" s="123"/>
    </row>
    <row r="29" spans="1:6" x14ac:dyDescent="0.25">
      <c r="A29" s="73">
        <v>8</v>
      </c>
      <c r="B29" s="31" t="s">
        <v>1910</v>
      </c>
      <c r="C29" s="19" t="s">
        <v>1911</v>
      </c>
    </row>
    <row r="30" spans="1:6" x14ac:dyDescent="0.25">
      <c r="A30" s="73">
        <v>9</v>
      </c>
      <c r="B30" s="31" t="s">
        <v>1912</v>
      </c>
      <c r="C30" s="19" t="s">
        <v>1936</v>
      </c>
    </row>
    <row r="31" spans="1:6" x14ac:dyDescent="0.25">
      <c r="A31" s="73">
        <v>10</v>
      </c>
      <c r="B31" s="31" t="s">
        <v>1784</v>
      </c>
      <c r="C31" s="19" t="s">
        <v>1937</v>
      </c>
    </row>
    <row r="32" spans="1:6" x14ac:dyDescent="0.25">
      <c r="A32" s="73">
        <v>11</v>
      </c>
      <c r="B32" s="31" t="s">
        <v>1785</v>
      </c>
      <c r="C32" s="19" t="s">
        <v>1939</v>
      </c>
    </row>
    <row r="33" spans="1:6" x14ac:dyDescent="0.25">
      <c r="A33" s="73">
        <v>12</v>
      </c>
      <c r="B33" s="31" t="s">
        <v>1786</v>
      </c>
      <c r="C33" s="19" t="s">
        <v>1938</v>
      </c>
    </row>
    <row r="34" spans="1:6" x14ac:dyDescent="0.25">
      <c r="A34" s="73">
        <v>13</v>
      </c>
      <c r="B34" s="31" t="s">
        <v>1787</v>
      </c>
      <c r="C34" s="19" t="s">
        <v>1940</v>
      </c>
    </row>
    <row r="35" spans="1:6" x14ac:dyDescent="0.25">
      <c r="A35" s="73">
        <v>14</v>
      </c>
      <c r="B35" s="31" t="s">
        <v>1788</v>
      </c>
      <c r="C35" s="19" t="s">
        <v>1941</v>
      </c>
      <c r="E35" s="123"/>
      <c r="F35" s="123"/>
    </row>
    <row r="36" spans="1:6" x14ac:dyDescent="0.25">
      <c r="A36" s="73">
        <v>15</v>
      </c>
      <c r="B36" s="31" t="s">
        <v>1789</v>
      </c>
      <c r="C36" s="19" t="s">
        <v>1942</v>
      </c>
      <c r="E36" s="123"/>
      <c r="F36" s="123"/>
    </row>
    <row r="37" spans="1:6" x14ac:dyDescent="0.25">
      <c r="A37" s="73">
        <v>16</v>
      </c>
      <c r="B37" s="31" t="s">
        <v>1790</v>
      </c>
      <c r="C37" s="19" t="s">
        <v>1943</v>
      </c>
      <c r="E37" s="123"/>
      <c r="F37" s="123"/>
    </row>
    <row r="38" spans="1:6" x14ac:dyDescent="0.25">
      <c r="A38" s="73">
        <v>17</v>
      </c>
      <c r="B38" s="31" t="s">
        <v>1791</v>
      </c>
      <c r="C38" s="19" t="s">
        <v>1944</v>
      </c>
      <c r="E38" s="123"/>
      <c r="F38" s="123"/>
    </row>
    <row r="39" spans="1:6" x14ac:dyDescent="0.25">
      <c r="A39" s="73">
        <v>18</v>
      </c>
      <c r="B39" s="31" t="s">
        <v>840</v>
      </c>
      <c r="C39" s="19" t="s">
        <v>841</v>
      </c>
    </row>
    <row r="40" spans="1:6" x14ac:dyDescent="0.25">
      <c r="A40" s="73">
        <v>19</v>
      </c>
      <c r="B40" s="31" t="s">
        <v>1250</v>
      </c>
      <c r="C40" s="19" t="s">
        <v>1945</v>
      </c>
    </row>
    <row r="41" spans="1:6" ht="45" x14ac:dyDescent="0.25">
      <c r="A41" s="73" t="s">
        <v>1774</v>
      </c>
      <c r="B41" s="31" t="s">
        <v>1203</v>
      </c>
      <c r="C41" s="19" t="s">
        <v>1381</v>
      </c>
    </row>
    <row r="42" spans="1:6" x14ac:dyDescent="0.25">
      <c r="A42" s="128">
        <v>32</v>
      </c>
      <c r="B42" s="129" t="s">
        <v>1793</v>
      </c>
      <c r="C42" s="130" t="s">
        <v>1805</v>
      </c>
      <c r="E42" s="124"/>
      <c r="F42" s="124"/>
    </row>
    <row r="43" spans="1:6" x14ac:dyDescent="0.25">
      <c r="A43" s="128">
        <v>33</v>
      </c>
      <c r="B43" s="129" t="s">
        <v>1794</v>
      </c>
      <c r="C43" s="130" t="s">
        <v>1808</v>
      </c>
      <c r="E43" s="124"/>
      <c r="F43" s="124"/>
    </row>
    <row r="44" spans="1:6" x14ac:dyDescent="0.25">
      <c r="A44" s="128">
        <v>34</v>
      </c>
      <c r="B44" s="129" t="s">
        <v>1795</v>
      </c>
      <c r="C44" s="130" t="s">
        <v>1807</v>
      </c>
      <c r="E44" s="124"/>
      <c r="F44" s="124"/>
    </row>
    <row r="45" spans="1:6" x14ac:dyDescent="0.25">
      <c r="A45" s="128">
        <v>35</v>
      </c>
      <c r="B45" s="129" t="s">
        <v>1796</v>
      </c>
      <c r="C45" s="130" t="s">
        <v>1806</v>
      </c>
      <c r="E45" s="124"/>
      <c r="F45" s="124"/>
    </row>
    <row r="46" spans="1:6" x14ac:dyDescent="0.25">
      <c r="A46" s="128">
        <v>36</v>
      </c>
      <c r="B46" s="129" t="s">
        <v>1797</v>
      </c>
      <c r="C46" s="130" t="s">
        <v>1809</v>
      </c>
      <c r="E46" s="124"/>
      <c r="F46" s="124"/>
    </row>
    <row r="47" spans="1:6" x14ac:dyDescent="0.25">
      <c r="A47" s="128">
        <v>37</v>
      </c>
      <c r="B47" s="129" t="s">
        <v>1798</v>
      </c>
      <c r="C47" s="130" t="s">
        <v>1810</v>
      </c>
      <c r="E47" s="124"/>
      <c r="F47" s="124"/>
    </row>
    <row r="48" spans="1:6" ht="45.75" thickBot="1" x14ac:dyDescent="0.3">
      <c r="A48" s="74" t="s">
        <v>1799</v>
      </c>
      <c r="B48" s="76" t="s">
        <v>1203</v>
      </c>
      <c r="C48" s="77" t="s">
        <v>1382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103"/>
  <sheetViews>
    <sheetView workbookViewId="0"/>
  </sheetViews>
  <sheetFormatPr defaultRowHeight="15" x14ac:dyDescent="0.25"/>
  <cols>
    <col min="1" max="1" width="22.42578125" customWidth="1"/>
    <col min="2" max="4" width="12.7109375" style="4" customWidth="1"/>
    <col min="5" max="5" width="46.85546875" customWidth="1"/>
    <col min="7" max="7" width="11" bestFit="1" customWidth="1"/>
  </cols>
  <sheetData>
    <row r="1" spans="1:10" ht="31.5" x14ac:dyDescent="0.25">
      <c r="A1" s="9" t="s">
        <v>1174</v>
      </c>
      <c r="B1" s="15" t="s">
        <v>1175</v>
      </c>
      <c r="C1" s="15" t="s">
        <v>1344</v>
      </c>
      <c r="D1" s="15" t="s">
        <v>1182</v>
      </c>
      <c r="E1" s="10" t="s">
        <v>718</v>
      </c>
    </row>
    <row r="2" spans="1:10" ht="30" x14ac:dyDescent="0.25">
      <c r="A2" s="59" t="s">
        <v>1319</v>
      </c>
      <c r="B2" s="60" t="s">
        <v>1176</v>
      </c>
      <c r="C2" s="60" t="s">
        <v>1177</v>
      </c>
      <c r="D2" s="60" t="s">
        <v>1183</v>
      </c>
      <c r="E2" s="61" t="s">
        <v>1185</v>
      </c>
    </row>
    <row r="3" spans="1:10" x14ac:dyDescent="0.25">
      <c r="A3" s="56" t="s">
        <v>1320</v>
      </c>
      <c r="B3" s="57" t="s">
        <v>1178</v>
      </c>
      <c r="C3" s="57" t="s">
        <v>1179</v>
      </c>
      <c r="D3" s="57" t="s">
        <v>1183</v>
      </c>
      <c r="E3" s="58" t="s">
        <v>1186</v>
      </c>
    </row>
    <row r="4" spans="1:10" ht="15.75" thickBot="1" x14ac:dyDescent="0.3">
      <c r="A4" s="62" t="s">
        <v>1321</v>
      </c>
      <c r="B4" s="63" t="s">
        <v>1180</v>
      </c>
      <c r="C4" s="63" t="s">
        <v>1181</v>
      </c>
      <c r="D4" s="63" t="s">
        <v>1184</v>
      </c>
      <c r="E4" s="64" t="s">
        <v>1322</v>
      </c>
    </row>
    <row r="5" spans="1:10" ht="15.75" thickBot="1" x14ac:dyDescent="0.3">
      <c r="G5" s="203" t="s">
        <v>1343</v>
      </c>
      <c r="H5" s="203"/>
      <c r="I5" s="203"/>
      <c r="J5" s="203"/>
    </row>
    <row r="6" spans="1:10" ht="31.5" x14ac:dyDescent="0.25">
      <c r="A6" s="9" t="s">
        <v>1174</v>
      </c>
      <c r="B6" s="15" t="s">
        <v>1175</v>
      </c>
      <c r="C6" s="15" t="s">
        <v>1344</v>
      </c>
      <c r="D6" s="15" t="s">
        <v>1182</v>
      </c>
      <c r="E6" s="10" t="s">
        <v>718</v>
      </c>
      <c r="G6" s="53" t="s">
        <v>1247</v>
      </c>
      <c r="H6" s="53" t="s">
        <v>1248</v>
      </c>
      <c r="I6" s="53" t="s">
        <v>1249</v>
      </c>
    </row>
    <row r="7" spans="1:10" ht="30" x14ac:dyDescent="0.25">
      <c r="A7" s="131" t="s">
        <v>1203</v>
      </c>
      <c r="B7" s="132" t="s">
        <v>1498</v>
      </c>
      <c r="C7" s="132" t="s">
        <v>1177</v>
      </c>
      <c r="D7" s="132" t="s">
        <v>1887</v>
      </c>
      <c r="E7" s="133" t="s">
        <v>1908</v>
      </c>
      <c r="G7">
        <f t="shared" ref="G7:G13" si="0">(HEX2DEC(MID(C7,3,LEN(C7)-2)) - HEX2DEC(MID(B7,3,LEN(B7)-2))+1)/1024</f>
        <v>458752</v>
      </c>
      <c r="H7">
        <f t="shared" ref="H7:H13" si="1">G7/1024</f>
        <v>448</v>
      </c>
    </row>
    <row r="8" spans="1:10" x14ac:dyDescent="0.25">
      <c r="A8" s="134" t="s">
        <v>1984</v>
      </c>
      <c r="B8" s="135" t="s">
        <v>1362</v>
      </c>
      <c r="C8" s="135" t="s">
        <v>1495</v>
      </c>
      <c r="D8" s="135" t="s">
        <v>1275</v>
      </c>
      <c r="E8" s="136" t="s">
        <v>1897</v>
      </c>
      <c r="G8">
        <f t="shared" si="0"/>
        <v>16384</v>
      </c>
      <c r="H8">
        <f t="shared" si="1"/>
        <v>16</v>
      </c>
      <c r="I8" t="str">
        <f t="shared" ref="I8:I13" si="2">IF((HEX2DEC(MID(B7,3,LEN(B7)-2)) - HEX2DEC(MID(C8,3,LEN(C8)-2)))=1,"ok","error")</f>
        <v>ok</v>
      </c>
    </row>
    <row r="9" spans="1:10" x14ac:dyDescent="0.25">
      <c r="A9" s="137" t="s">
        <v>1985</v>
      </c>
      <c r="B9" s="138" t="s">
        <v>1360</v>
      </c>
      <c r="C9" s="138" t="s">
        <v>1361</v>
      </c>
      <c r="D9" s="138" t="s">
        <v>1275</v>
      </c>
      <c r="E9" s="139" t="s">
        <v>1895</v>
      </c>
      <c r="G9">
        <f t="shared" si="0"/>
        <v>16384</v>
      </c>
      <c r="H9">
        <f t="shared" si="1"/>
        <v>16</v>
      </c>
      <c r="I9" t="str">
        <f t="shared" si="2"/>
        <v>ok</v>
      </c>
    </row>
    <row r="10" spans="1:10" x14ac:dyDescent="0.25">
      <c r="A10" s="140" t="s">
        <v>1203</v>
      </c>
      <c r="B10" s="141" t="s">
        <v>1899</v>
      </c>
      <c r="C10" s="141" t="s">
        <v>1359</v>
      </c>
      <c r="D10" s="141" t="s">
        <v>1275</v>
      </c>
      <c r="E10" s="142" t="s">
        <v>1900</v>
      </c>
      <c r="G10">
        <f t="shared" si="0"/>
        <v>16384</v>
      </c>
      <c r="H10">
        <f t="shared" si="1"/>
        <v>16</v>
      </c>
      <c r="I10" t="str">
        <f t="shared" si="2"/>
        <v>ok</v>
      </c>
    </row>
    <row r="11" spans="1:10" x14ac:dyDescent="0.25">
      <c r="A11" s="143" t="s">
        <v>1986</v>
      </c>
      <c r="B11" s="144" t="s">
        <v>1246</v>
      </c>
      <c r="C11" s="144" t="s">
        <v>1898</v>
      </c>
      <c r="D11" s="144" t="s">
        <v>1275</v>
      </c>
      <c r="E11" s="145" t="s">
        <v>1896</v>
      </c>
      <c r="G11">
        <f t="shared" si="0"/>
        <v>16384</v>
      </c>
      <c r="H11">
        <f t="shared" si="1"/>
        <v>16</v>
      </c>
      <c r="I11" t="str">
        <f t="shared" si="2"/>
        <v>ok</v>
      </c>
    </row>
    <row r="12" spans="1:10" x14ac:dyDescent="0.25">
      <c r="A12" s="146" t="s">
        <v>1987</v>
      </c>
      <c r="B12" s="147" t="s">
        <v>1243</v>
      </c>
      <c r="C12" s="147" t="s">
        <v>1245</v>
      </c>
      <c r="D12" s="147" t="s">
        <v>1244</v>
      </c>
      <c r="E12" s="148" t="s">
        <v>1904</v>
      </c>
      <c r="G12">
        <f t="shared" si="0"/>
        <v>262144</v>
      </c>
      <c r="H12">
        <f t="shared" si="1"/>
        <v>256</v>
      </c>
      <c r="I12" t="str">
        <f t="shared" si="2"/>
        <v>ok</v>
      </c>
    </row>
    <row r="13" spans="1:10" x14ac:dyDescent="0.25">
      <c r="A13" s="149" t="s">
        <v>1988</v>
      </c>
      <c r="B13" s="150" t="s">
        <v>1277</v>
      </c>
      <c r="C13" s="150" t="s">
        <v>1242</v>
      </c>
      <c r="D13" s="150" t="s">
        <v>1323</v>
      </c>
      <c r="E13" s="151" t="s">
        <v>1317</v>
      </c>
      <c r="G13">
        <f t="shared" si="0"/>
        <v>131072</v>
      </c>
      <c r="H13">
        <f t="shared" si="1"/>
        <v>128</v>
      </c>
      <c r="I13" t="str">
        <f t="shared" si="2"/>
        <v>ok</v>
      </c>
    </row>
    <row r="14" spans="1:10" x14ac:dyDescent="0.25">
      <c r="A14" s="152" t="s">
        <v>1989</v>
      </c>
      <c r="B14" s="153" t="s">
        <v>1261</v>
      </c>
      <c r="C14" s="153" t="s">
        <v>1274</v>
      </c>
      <c r="D14" s="153" t="s">
        <v>1318</v>
      </c>
      <c r="E14" s="154" t="s">
        <v>1316</v>
      </c>
      <c r="G14">
        <f t="shared" ref="G14" si="3">(HEX2DEC(MID(C14,3,LEN(C14)-2)) - HEX2DEC(MID(B14,3,LEN(B14)-2))+1)/1024</f>
        <v>65536</v>
      </c>
      <c r="H14">
        <f t="shared" ref="H14" si="4">G14/1024</f>
        <v>64</v>
      </c>
      <c r="I14" t="str">
        <f t="shared" ref="I14" si="5">IF((HEX2DEC(MID(B13,3,LEN(B13)-2)) - HEX2DEC(MID(C14,3,LEN(C14)-2)))=1,"ok","error")</f>
        <v>ok</v>
      </c>
    </row>
    <row r="15" spans="1:10" x14ac:dyDescent="0.25">
      <c r="A15" s="155" t="s">
        <v>1188</v>
      </c>
      <c r="B15" s="156" t="s">
        <v>1326</v>
      </c>
      <c r="C15" s="156" t="s">
        <v>1264</v>
      </c>
      <c r="D15" s="156" t="s">
        <v>1275</v>
      </c>
      <c r="E15" s="157" t="s">
        <v>1189</v>
      </c>
      <c r="G15">
        <f t="shared" ref="G15:G25" si="6">(HEX2DEC(MID(C15,3,LEN(C15)-2)) - HEX2DEC(MID(B15,3,LEN(B15)-2))+1)/1024</f>
        <v>16384</v>
      </c>
      <c r="H15">
        <f t="shared" ref="H15:H25" si="7">G15/1024</f>
        <v>16</v>
      </c>
      <c r="I15" t="str">
        <f t="shared" ref="I15:I25" si="8">IF((HEX2DEC(MID(B14,3,LEN(B14)-2)) - HEX2DEC(MID(C15,3,LEN(C15)-2)))=1,"ok","error")</f>
        <v>ok</v>
      </c>
    </row>
    <row r="16" spans="1:10" x14ac:dyDescent="0.25">
      <c r="A16" s="158" t="s">
        <v>1992</v>
      </c>
      <c r="B16" s="159" t="s">
        <v>1259</v>
      </c>
      <c r="C16" s="159" t="s">
        <v>1325</v>
      </c>
      <c r="D16" s="159" t="s">
        <v>1275</v>
      </c>
      <c r="E16" s="160" t="s">
        <v>1993</v>
      </c>
      <c r="G16">
        <f t="shared" si="6"/>
        <v>16384</v>
      </c>
      <c r="H16">
        <f t="shared" si="7"/>
        <v>16</v>
      </c>
      <c r="I16" t="str">
        <f t="shared" si="8"/>
        <v>ok</v>
      </c>
    </row>
    <row r="17" spans="1:9" x14ac:dyDescent="0.25">
      <c r="A17" s="161" t="s">
        <v>1990</v>
      </c>
      <c r="B17" s="162" t="s">
        <v>1254</v>
      </c>
      <c r="C17" s="162" t="s">
        <v>1257</v>
      </c>
      <c r="D17" s="162" t="s">
        <v>1275</v>
      </c>
      <c r="E17" s="163" t="s">
        <v>1327</v>
      </c>
      <c r="G17">
        <f t="shared" si="6"/>
        <v>16384</v>
      </c>
      <c r="H17">
        <f t="shared" si="7"/>
        <v>16</v>
      </c>
      <c r="I17" t="str">
        <f t="shared" si="8"/>
        <v>ok</v>
      </c>
    </row>
    <row r="18" spans="1:9" x14ac:dyDescent="0.25">
      <c r="A18" s="164" t="s">
        <v>1991</v>
      </c>
      <c r="B18" s="165" t="s">
        <v>1176</v>
      </c>
      <c r="C18" s="165" t="s">
        <v>1263</v>
      </c>
      <c r="D18" s="165" t="s">
        <v>1275</v>
      </c>
      <c r="E18" s="166" t="s">
        <v>1315</v>
      </c>
      <c r="G18">
        <f t="shared" si="6"/>
        <v>16384</v>
      </c>
      <c r="H18">
        <f t="shared" si="7"/>
        <v>16</v>
      </c>
      <c r="I18" t="str">
        <f t="shared" si="8"/>
        <v>ok</v>
      </c>
    </row>
    <row r="19" spans="1:9" x14ac:dyDescent="0.25">
      <c r="A19" s="56" t="s">
        <v>1949</v>
      </c>
      <c r="B19" s="57" t="s">
        <v>1178</v>
      </c>
      <c r="C19" s="57" t="s">
        <v>1179</v>
      </c>
      <c r="D19" s="57" t="s">
        <v>1183</v>
      </c>
      <c r="E19" s="167" t="s">
        <v>1906</v>
      </c>
      <c r="G19">
        <f t="shared" si="6"/>
        <v>1048576</v>
      </c>
      <c r="H19">
        <f t="shared" si="7"/>
        <v>1024</v>
      </c>
      <c r="I19" t="str">
        <f t="shared" si="8"/>
        <v>ok</v>
      </c>
    </row>
    <row r="20" spans="1:9" x14ac:dyDescent="0.25">
      <c r="A20" s="65" t="s">
        <v>1948</v>
      </c>
      <c r="B20" s="66" t="s">
        <v>1820</v>
      </c>
      <c r="C20" s="66" t="s">
        <v>1181</v>
      </c>
      <c r="D20" s="66" t="s">
        <v>1183</v>
      </c>
      <c r="E20" s="67" t="s">
        <v>1907</v>
      </c>
      <c r="G20">
        <f t="shared" ref="G20" si="9">(HEX2DEC(MID(C20,3,LEN(C20)-2)) - HEX2DEC(MID(B20,3,LEN(B20)-2))+1)/1024</f>
        <v>1048576</v>
      </c>
      <c r="H20">
        <f t="shared" ref="H20" si="10">G20/1024</f>
        <v>1024</v>
      </c>
      <c r="I20" t="str">
        <f t="shared" si="8"/>
        <v>ok</v>
      </c>
    </row>
    <row r="21" spans="1:9" x14ac:dyDescent="0.25">
      <c r="A21" s="179" t="s">
        <v>1850</v>
      </c>
      <c r="B21" s="180" t="s">
        <v>1817</v>
      </c>
      <c r="C21" s="180" t="s">
        <v>1818</v>
      </c>
      <c r="D21" s="180" t="s">
        <v>1187</v>
      </c>
      <c r="E21" s="181" t="s">
        <v>1903</v>
      </c>
      <c r="G21">
        <f t="shared" ref="G21" si="11">(HEX2DEC(MID(C21,3,LEN(C21)-2)) - HEX2DEC(MID(B21,3,LEN(B21)-2))+1)/1024</f>
        <v>524288</v>
      </c>
      <c r="H21">
        <f t="shared" ref="H21" si="12">G21/1024</f>
        <v>512</v>
      </c>
      <c r="I21" t="str">
        <f t="shared" si="8"/>
        <v>ok</v>
      </c>
    </row>
    <row r="22" spans="1:9" x14ac:dyDescent="0.25">
      <c r="A22" s="182" t="s">
        <v>1862</v>
      </c>
      <c r="B22" s="183" t="s">
        <v>1863</v>
      </c>
      <c r="C22" s="183" t="s">
        <v>1819</v>
      </c>
      <c r="D22" s="183" t="s">
        <v>1244</v>
      </c>
      <c r="E22" s="184" t="s">
        <v>1902</v>
      </c>
      <c r="G22">
        <f t="shared" ref="G22" si="13">(HEX2DEC(MID(C22,3,LEN(C22)-2)) - HEX2DEC(MID(B22,3,LEN(B22)-2))+1)/1024</f>
        <v>262144</v>
      </c>
      <c r="H22">
        <f t="shared" ref="H22" si="14">G22/1024</f>
        <v>256</v>
      </c>
      <c r="I22" t="str">
        <f t="shared" si="8"/>
        <v>ok</v>
      </c>
    </row>
    <row r="23" spans="1:9" x14ac:dyDescent="0.25">
      <c r="A23" s="185" t="s">
        <v>1203</v>
      </c>
      <c r="B23" s="186" t="s">
        <v>1815</v>
      </c>
      <c r="C23" s="186" t="s">
        <v>1865</v>
      </c>
      <c r="D23" s="186" t="s">
        <v>1324</v>
      </c>
      <c r="E23" s="187" t="s">
        <v>1189</v>
      </c>
      <c r="G23">
        <f t="shared" si="6"/>
        <v>229376</v>
      </c>
      <c r="H23">
        <f t="shared" si="7"/>
        <v>224</v>
      </c>
      <c r="I23" t="str">
        <f t="shared" si="8"/>
        <v>ok</v>
      </c>
    </row>
    <row r="24" spans="1:9" x14ac:dyDescent="0.25">
      <c r="A24" s="188" t="s">
        <v>1994</v>
      </c>
      <c r="B24" s="189" t="s">
        <v>1812</v>
      </c>
      <c r="C24" s="189" t="s">
        <v>1813</v>
      </c>
      <c r="D24" s="189" t="s">
        <v>1275</v>
      </c>
      <c r="E24" s="190" t="s">
        <v>1905</v>
      </c>
      <c r="G24">
        <f t="shared" ref="G24" si="15">(HEX2DEC(MID(C24,3,LEN(C24)-2)) - HEX2DEC(MID(B24,3,LEN(B24)-2))+1)/1024</f>
        <v>16384</v>
      </c>
      <c r="H24">
        <f t="shared" ref="H24" si="16">G24/1024</f>
        <v>16</v>
      </c>
      <c r="I24" t="str">
        <f t="shared" si="8"/>
        <v>ok</v>
      </c>
    </row>
    <row r="25" spans="1:9" ht="15.75" thickBot="1" x14ac:dyDescent="0.3">
      <c r="A25" s="191" t="s">
        <v>1995</v>
      </c>
      <c r="B25" s="192" t="s">
        <v>1180</v>
      </c>
      <c r="C25" s="192" t="s">
        <v>1814</v>
      </c>
      <c r="D25" s="192" t="s">
        <v>1275</v>
      </c>
      <c r="E25" s="193" t="s">
        <v>1901</v>
      </c>
      <c r="G25">
        <f t="shared" si="6"/>
        <v>16384</v>
      </c>
      <c r="H25">
        <f t="shared" si="7"/>
        <v>16</v>
      </c>
      <c r="I25" t="str">
        <f t="shared" si="8"/>
        <v>ok</v>
      </c>
    </row>
    <row r="26" spans="1:9" ht="15.75" thickBot="1" x14ac:dyDescent="0.3"/>
    <row r="27" spans="1:9" ht="31.5" x14ac:dyDescent="0.25">
      <c r="A27" s="9" t="s">
        <v>1174</v>
      </c>
      <c r="B27" s="15" t="s">
        <v>1175</v>
      </c>
      <c r="C27" s="15" t="s">
        <v>1344</v>
      </c>
      <c r="D27" s="15" t="s">
        <v>1182</v>
      </c>
      <c r="E27" s="10" t="s">
        <v>718</v>
      </c>
    </row>
    <row r="28" spans="1:9" x14ac:dyDescent="0.25">
      <c r="A28" s="131" t="s">
        <v>1203</v>
      </c>
      <c r="B28" s="132" t="s">
        <v>1498</v>
      </c>
      <c r="C28" s="132" t="s">
        <v>1177</v>
      </c>
      <c r="D28" s="132" t="s">
        <v>1887</v>
      </c>
      <c r="E28" s="168" t="s">
        <v>1363</v>
      </c>
      <c r="G28">
        <f t="shared" ref="G28:G46" si="17">(HEX2DEC(MID(C28,3,LEN(C28)-2)) - HEX2DEC(MID(B28,3,LEN(B28)-2))+1)/1024</f>
        <v>458752</v>
      </c>
      <c r="H28">
        <f t="shared" ref="H28:H46" si="18">G28/1024</f>
        <v>448</v>
      </c>
    </row>
    <row r="29" spans="1:9" x14ac:dyDescent="0.25">
      <c r="A29" s="134" t="s">
        <v>1203</v>
      </c>
      <c r="B29" s="135" t="s">
        <v>1884</v>
      </c>
      <c r="C29" s="135" t="s">
        <v>1495</v>
      </c>
      <c r="D29" s="135" t="s">
        <v>1885</v>
      </c>
      <c r="E29" s="169" t="s">
        <v>1358</v>
      </c>
      <c r="G29">
        <f t="shared" ref="G29" si="19">(HEX2DEC(MID(C29,3,LEN(C29)-2)) - HEX2DEC(MID(B29,3,LEN(B29)-2))+1)/1024</f>
        <v>16328</v>
      </c>
      <c r="H29">
        <f t="shared" ref="H29" si="20">G29/1024</f>
        <v>15.9453125</v>
      </c>
      <c r="I29" t="str">
        <f t="shared" ref="I29" si="21">IF((HEX2DEC(MID(B28,3,LEN(B28)-2)) - HEX2DEC(MID(C29,3,LEN(C29)-2)))=1,"ok","error")</f>
        <v>ok</v>
      </c>
    </row>
    <row r="30" spans="1:9" x14ac:dyDescent="0.25">
      <c r="A30" s="134" t="s">
        <v>1875</v>
      </c>
      <c r="B30" s="135" t="s">
        <v>1882</v>
      </c>
      <c r="C30" s="135" t="s">
        <v>1881</v>
      </c>
      <c r="D30" s="135" t="s">
        <v>1196</v>
      </c>
      <c r="E30" s="169" t="s">
        <v>1883</v>
      </c>
      <c r="G30">
        <f t="shared" si="17"/>
        <v>8</v>
      </c>
      <c r="H30">
        <f t="shared" si="18"/>
        <v>7.8125E-3</v>
      </c>
      <c r="I30" t="str">
        <f t="shared" ref="I30:I46" si="22">IF((HEX2DEC(MID(B29,3,LEN(B29)-2)) - HEX2DEC(MID(C30,3,LEN(C30)-2)))=1,"ok","error")</f>
        <v>ok</v>
      </c>
    </row>
    <row r="31" spans="1:9" x14ac:dyDescent="0.25">
      <c r="A31" s="134" t="s">
        <v>1983</v>
      </c>
      <c r="B31" s="135" t="s">
        <v>1874</v>
      </c>
      <c r="C31" s="135" t="s">
        <v>1880</v>
      </c>
      <c r="D31" s="135" t="s">
        <v>1196</v>
      </c>
      <c r="E31" s="169" t="s">
        <v>1859</v>
      </c>
      <c r="G31">
        <f t="shared" si="17"/>
        <v>8</v>
      </c>
      <c r="H31">
        <f t="shared" si="18"/>
        <v>7.8125E-3</v>
      </c>
      <c r="I31" t="str">
        <f t="shared" si="22"/>
        <v>ok</v>
      </c>
    </row>
    <row r="32" spans="1:9" x14ac:dyDescent="0.25">
      <c r="A32" s="134" t="s">
        <v>1982</v>
      </c>
      <c r="B32" s="135" t="s">
        <v>1873</v>
      </c>
      <c r="C32" s="135" t="s">
        <v>1879</v>
      </c>
      <c r="D32" s="135" t="s">
        <v>1196</v>
      </c>
      <c r="E32" s="169" t="s">
        <v>1858</v>
      </c>
      <c r="G32">
        <f t="shared" si="17"/>
        <v>8</v>
      </c>
      <c r="H32">
        <f t="shared" si="18"/>
        <v>7.8125E-3</v>
      </c>
      <c r="I32" t="str">
        <f t="shared" si="22"/>
        <v>ok</v>
      </c>
    </row>
    <row r="33" spans="1:9" x14ac:dyDescent="0.25">
      <c r="A33" s="134" t="s">
        <v>1981</v>
      </c>
      <c r="B33" s="135" t="s">
        <v>1872</v>
      </c>
      <c r="C33" s="135" t="s">
        <v>1878</v>
      </c>
      <c r="D33" s="135" t="s">
        <v>1196</v>
      </c>
      <c r="E33" s="169" t="s">
        <v>1857</v>
      </c>
      <c r="G33">
        <f t="shared" si="17"/>
        <v>8</v>
      </c>
      <c r="H33">
        <f t="shared" si="18"/>
        <v>7.8125E-3</v>
      </c>
      <c r="I33" t="str">
        <f t="shared" si="22"/>
        <v>ok</v>
      </c>
    </row>
    <row r="34" spans="1:9" x14ac:dyDescent="0.25">
      <c r="A34" s="134" t="s">
        <v>1980</v>
      </c>
      <c r="B34" s="135" t="s">
        <v>1861</v>
      </c>
      <c r="C34" s="135" t="s">
        <v>1877</v>
      </c>
      <c r="D34" s="135" t="s">
        <v>1196</v>
      </c>
      <c r="E34" s="169" t="s">
        <v>1856</v>
      </c>
      <c r="G34">
        <f t="shared" si="17"/>
        <v>8</v>
      </c>
      <c r="H34">
        <f t="shared" si="18"/>
        <v>7.8125E-3</v>
      </c>
      <c r="I34" t="str">
        <f t="shared" si="22"/>
        <v>ok</v>
      </c>
    </row>
    <row r="35" spans="1:9" x14ac:dyDescent="0.25">
      <c r="A35" s="134" t="s">
        <v>1979</v>
      </c>
      <c r="B35" s="135" t="s">
        <v>1496</v>
      </c>
      <c r="C35" s="135" t="s">
        <v>1876</v>
      </c>
      <c r="D35" s="135" t="s">
        <v>1196</v>
      </c>
      <c r="E35" s="169" t="s">
        <v>1855</v>
      </c>
      <c r="G35">
        <f t="shared" si="17"/>
        <v>8</v>
      </c>
      <c r="H35">
        <f t="shared" si="18"/>
        <v>7.8125E-3</v>
      </c>
      <c r="I35" t="str">
        <f t="shared" si="22"/>
        <v>ok</v>
      </c>
    </row>
    <row r="36" spans="1:9" x14ac:dyDescent="0.25">
      <c r="A36" s="134" t="s">
        <v>1978</v>
      </c>
      <c r="B36" s="135" t="s">
        <v>1362</v>
      </c>
      <c r="C36" s="135" t="s">
        <v>1497</v>
      </c>
      <c r="D36" s="135" t="s">
        <v>1196</v>
      </c>
      <c r="E36" s="169" t="s">
        <v>1854</v>
      </c>
      <c r="G36">
        <f t="shared" si="17"/>
        <v>8</v>
      </c>
      <c r="H36">
        <f t="shared" si="18"/>
        <v>7.8125E-3</v>
      </c>
      <c r="I36" t="str">
        <f t="shared" si="22"/>
        <v>ok</v>
      </c>
    </row>
    <row r="37" spans="1:9" x14ac:dyDescent="0.25">
      <c r="A37" s="137" t="s">
        <v>1203</v>
      </c>
      <c r="B37" s="138" t="s">
        <v>1893</v>
      </c>
      <c r="C37" s="138" t="s">
        <v>1361</v>
      </c>
      <c r="D37" s="138" t="s">
        <v>1894</v>
      </c>
      <c r="E37" s="170" t="s">
        <v>1358</v>
      </c>
      <c r="G37">
        <f t="shared" si="17"/>
        <v>16304</v>
      </c>
      <c r="H37">
        <f t="shared" si="18"/>
        <v>15.921875</v>
      </c>
      <c r="I37" t="str">
        <f t="shared" si="22"/>
        <v>ok</v>
      </c>
    </row>
    <row r="38" spans="1:9" x14ac:dyDescent="0.25">
      <c r="A38" s="137" t="s">
        <v>1977</v>
      </c>
      <c r="B38" s="138" t="s">
        <v>1890</v>
      </c>
      <c r="C38" s="138" t="s">
        <v>1891</v>
      </c>
      <c r="D38" s="138" t="s">
        <v>1196</v>
      </c>
      <c r="E38" s="170" t="s">
        <v>1886</v>
      </c>
      <c r="G38">
        <f t="shared" ref="G38:G40" si="23">(HEX2DEC(MID(C38,3,LEN(C38)-2)) - HEX2DEC(MID(B38,3,LEN(B38)-2))+1)/1024</f>
        <v>16</v>
      </c>
      <c r="H38">
        <f t="shared" ref="H38:H40" si="24">G38/1024</f>
        <v>1.5625E-2</v>
      </c>
      <c r="I38" t="str">
        <f t="shared" ref="I38:I40" si="25">IF((HEX2DEC(MID(B37,3,LEN(B37)-2)) - HEX2DEC(MID(C38,3,LEN(C38)-2)))=1,"ok","error")</f>
        <v>ok</v>
      </c>
    </row>
    <row r="39" spans="1:9" ht="30" x14ac:dyDescent="0.25">
      <c r="A39" s="137" t="s">
        <v>1203</v>
      </c>
      <c r="B39" s="138" t="s">
        <v>1870</v>
      </c>
      <c r="C39" s="138" t="s">
        <v>1892</v>
      </c>
      <c r="D39" s="138" t="s">
        <v>1218</v>
      </c>
      <c r="E39" s="170" t="s">
        <v>1889</v>
      </c>
      <c r="G39">
        <f t="shared" si="23"/>
        <v>48</v>
      </c>
      <c r="H39">
        <f t="shared" si="24"/>
        <v>4.6875E-2</v>
      </c>
      <c r="I39" t="str">
        <f t="shared" si="25"/>
        <v>ok</v>
      </c>
    </row>
    <row r="40" spans="1:9" x14ac:dyDescent="0.25">
      <c r="A40" s="137" t="s">
        <v>1860</v>
      </c>
      <c r="B40" s="138" t="s">
        <v>1360</v>
      </c>
      <c r="C40" s="138" t="s">
        <v>1871</v>
      </c>
      <c r="D40" s="138" t="s">
        <v>1847</v>
      </c>
      <c r="E40" s="170" t="s">
        <v>1355</v>
      </c>
      <c r="G40">
        <f t="shared" si="23"/>
        <v>16</v>
      </c>
      <c r="H40">
        <f t="shared" si="24"/>
        <v>1.5625E-2</v>
      </c>
      <c r="I40" t="str">
        <f t="shared" si="25"/>
        <v>ok</v>
      </c>
    </row>
    <row r="41" spans="1:9" ht="30" x14ac:dyDescent="0.25">
      <c r="A41" s="143" t="s">
        <v>1203</v>
      </c>
      <c r="B41" s="144" t="s">
        <v>1477</v>
      </c>
      <c r="C41" s="144" t="s">
        <v>1359</v>
      </c>
      <c r="D41" s="144" t="s">
        <v>1888</v>
      </c>
      <c r="E41" s="171" t="s">
        <v>1889</v>
      </c>
      <c r="G41">
        <f t="shared" si="17"/>
        <v>32728</v>
      </c>
      <c r="H41">
        <f t="shared" si="18"/>
        <v>31.9609375</v>
      </c>
      <c r="I41" t="str">
        <f t="shared" si="22"/>
        <v>ok</v>
      </c>
    </row>
    <row r="42" spans="1:9" x14ac:dyDescent="0.25">
      <c r="A42" s="143" t="s">
        <v>1976</v>
      </c>
      <c r="B42" s="144" t="s">
        <v>1357</v>
      </c>
      <c r="C42" s="144" t="s">
        <v>1476</v>
      </c>
      <c r="D42" s="144" t="s">
        <v>1196</v>
      </c>
      <c r="E42" s="171" t="s">
        <v>1478</v>
      </c>
      <c r="G42">
        <f t="shared" si="17"/>
        <v>8</v>
      </c>
      <c r="H42">
        <f t="shared" si="18"/>
        <v>7.8125E-3</v>
      </c>
      <c r="I42" t="str">
        <f t="shared" si="22"/>
        <v>ok</v>
      </c>
    </row>
    <row r="43" spans="1:9" x14ac:dyDescent="0.25">
      <c r="A43" s="143" t="s">
        <v>1975</v>
      </c>
      <c r="B43" s="144" t="s">
        <v>1353</v>
      </c>
      <c r="C43" s="144" t="s">
        <v>1354</v>
      </c>
      <c r="D43" s="144" t="s">
        <v>1196</v>
      </c>
      <c r="E43" s="171" t="s">
        <v>1356</v>
      </c>
      <c r="G43">
        <f t="shared" si="17"/>
        <v>8</v>
      </c>
      <c r="H43">
        <f t="shared" si="18"/>
        <v>7.8125E-3</v>
      </c>
      <c r="I43" t="str">
        <f t="shared" si="22"/>
        <v>ok</v>
      </c>
    </row>
    <row r="44" spans="1:9" x14ac:dyDescent="0.25">
      <c r="A44" s="143" t="s">
        <v>1974</v>
      </c>
      <c r="B44" s="144" t="s">
        <v>1350</v>
      </c>
      <c r="C44" s="144" t="s">
        <v>1351</v>
      </c>
      <c r="D44" s="144" t="s">
        <v>1196</v>
      </c>
      <c r="E44" s="171" t="s">
        <v>1348</v>
      </c>
      <c r="G44">
        <f t="shared" si="17"/>
        <v>8</v>
      </c>
      <c r="H44">
        <f t="shared" si="18"/>
        <v>7.8125E-3</v>
      </c>
      <c r="I44" t="str">
        <f t="shared" si="22"/>
        <v>ok</v>
      </c>
    </row>
    <row r="45" spans="1:9" x14ac:dyDescent="0.25">
      <c r="A45" s="143" t="s">
        <v>1973</v>
      </c>
      <c r="B45" s="144" t="s">
        <v>1349</v>
      </c>
      <c r="C45" s="144" t="s">
        <v>1352</v>
      </c>
      <c r="D45" s="144" t="s">
        <v>1196</v>
      </c>
      <c r="E45" s="171" t="s">
        <v>1347</v>
      </c>
      <c r="G45">
        <f t="shared" si="17"/>
        <v>8</v>
      </c>
      <c r="H45">
        <f t="shared" si="18"/>
        <v>7.8125E-3</v>
      </c>
      <c r="I45" t="str">
        <f t="shared" si="22"/>
        <v>ok</v>
      </c>
    </row>
    <row r="46" spans="1:9" x14ac:dyDescent="0.25">
      <c r="A46" s="143" t="s">
        <v>1972</v>
      </c>
      <c r="B46" s="144" t="s">
        <v>1246</v>
      </c>
      <c r="C46" s="144" t="s">
        <v>1345</v>
      </c>
      <c r="D46" s="144" t="s">
        <v>1196</v>
      </c>
      <c r="E46" s="171" t="s">
        <v>1346</v>
      </c>
      <c r="G46">
        <f t="shared" si="17"/>
        <v>8</v>
      </c>
      <c r="H46">
        <f t="shared" si="18"/>
        <v>7.8125E-3</v>
      </c>
      <c r="I46" t="str">
        <f t="shared" si="22"/>
        <v>ok</v>
      </c>
    </row>
    <row r="47" spans="1:9" ht="30" x14ac:dyDescent="0.25">
      <c r="A47" s="146" t="s">
        <v>1851</v>
      </c>
      <c r="B47" s="147" t="s">
        <v>1243</v>
      </c>
      <c r="C47" s="147" t="s">
        <v>1245</v>
      </c>
      <c r="D47" s="147" t="s">
        <v>1244</v>
      </c>
      <c r="E47" s="172" t="s">
        <v>1853</v>
      </c>
      <c r="G47">
        <f t="shared" ref="G47:G98" si="26">(HEX2DEC(MID(C47,3,LEN(C47)-2)) - HEX2DEC(MID(B47,3,LEN(B47)-2))+1)/1024</f>
        <v>262144</v>
      </c>
      <c r="H47">
        <f t="shared" ref="H47:H98" si="27">G47/1024</f>
        <v>256</v>
      </c>
      <c r="I47" t="str">
        <f t="shared" ref="I47:I48" si="28">IF((HEX2DEC(MID(B46,3,LEN(B46)-2)) - HEX2DEC(MID(C47,3,LEN(C47)-2)))=1,"ok","error")</f>
        <v>ok</v>
      </c>
    </row>
    <row r="48" spans="1:9" x14ac:dyDescent="0.25">
      <c r="A48" s="149" t="s">
        <v>1203</v>
      </c>
      <c r="B48" s="150" t="s">
        <v>1311</v>
      </c>
      <c r="C48" s="150" t="s">
        <v>1242</v>
      </c>
      <c r="D48" s="150" t="s">
        <v>1313</v>
      </c>
      <c r="E48" s="173" t="s">
        <v>1312</v>
      </c>
      <c r="G48">
        <f t="shared" si="26"/>
        <v>49152</v>
      </c>
      <c r="H48">
        <f t="shared" si="27"/>
        <v>48</v>
      </c>
      <c r="I48" t="str">
        <f t="shared" si="28"/>
        <v>ok</v>
      </c>
    </row>
    <row r="49" spans="1:9" x14ac:dyDescent="0.25">
      <c r="A49" s="149" t="s">
        <v>1203</v>
      </c>
      <c r="B49" s="150" t="s">
        <v>1307</v>
      </c>
      <c r="C49" s="150" t="s">
        <v>1308</v>
      </c>
      <c r="D49" s="150" t="s">
        <v>1258</v>
      </c>
      <c r="E49" s="173" t="s">
        <v>1310</v>
      </c>
      <c r="G49">
        <f t="shared" ref="G49" si="29">(HEX2DEC(MID(C49,3,LEN(C49)-2)) - HEX2DEC(MID(B49,3,LEN(B49)-2))+1)/1024</f>
        <v>16376</v>
      </c>
      <c r="H49">
        <f t="shared" si="27"/>
        <v>15.9921875</v>
      </c>
      <c r="I49" t="str">
        <f t="shared" ref="I49" si="30">IF((HEX2DEC(MID(B48,3,LEN(B48)-2)) - HEX2DEC(MID(C49,3,LEN(C49)-2)))=1,"ok","error")</f>
        <v>ok</v>
      </c>
    </row>
    <row r="50" spans="1:9" x14ac:dyDescent="0.25">
      <c r="A50" s="149" t="s">
        <v>1203</v>
      </c>
      <c r="B50" s="150" t="s">
        <v>1306</v>
      </c>
      <c r="C50" s="150" t="s">
        <v>1309</v>
      </c>
      <c r="D50" s="150" t="s">
        <v>1196</v>
      </c>
      <c r="E50" s="173" t="s">
        <v>1869</v>
      </c>
      <c r="G50">
        <f t="shared" ref="G50:G55" si="31">(HEX2DEC(MID(C50,3,LEN(C50)-2)) - HEX2DEC(MID(B50,3,LEN(B50)-2))+1)/1024</f>
        <v>8</v>
      </c>
      <c r="H50">
        <f t="shared" si="27"/>
        <v>7.8125E-3</v>
      </c>
      <c r="I50" t="str">
        <f t="shared" ref="I50:I55" si="32">IF((HEX2DEC(MID(B49,3,LEN(B49)-2)) - HEX2DEC(MID(C50,3,LEN(C50)-2)))=1,"ok","error")</f>
        <v>ok</v>
      </c>
    </row>
    <row r="51" spans="1:9" x14ac:dyDescent="0.25">
      <c r="A51" s="149" t="s">
        <v>1203</v>
      </c>
      <c r="B51" s="150" t="s">
        <v>1304</v>
      </c>
      <c r="C51" s="150" t="s">
        <v>1305</v>
      </c>
      <c r="D51" s="150" t="s">
        <v>1258</v>
      </c>
      <c r="E51" s="173" t="s">
        <v>1303</v>
      </c>
      <c r="G51">
        <f t="shared" si="31"/>
        <v>16376</v>
      </c>
      <c r="H51">
        <f t="shared" si="27"/>
        <v>15.9921875</v>
      </c>
      <c r="I51" t="str">
        <f t="shared" si="32"/>
        <v>ok</v>
      </c>
    </row>
    <row r="52" spans="1:9" x14ac:dyDescent="0.25">
      <c r="A52" s="149" t="s">
        <v>1868</v>
      </c>
      <c r="B52" s="150" t="s">
        <v>1300</v>
      </c>
      <c r="C52" s="150" t="s">
        <v>1301</v>
      </c>
      <c r="D52" s="150" t="s">
        <v>1196</v>
      </c>
      <c r="E52" s="173" t="s">
        <v>1302</v>
      </c>
      <c r="G52">
        <f t="shared" si="31"/>
        <v>8</v>
      </c>
      <c r="H52">
        <f t="shared" si="27"/>
        <v>7.8125E-3</v>
      </c>
      <c r="I52" t="str">
        <f t="shared" si="32"/>
        <v>ok</v>
      </c>
    </row>
    <row r="53" spans="1:9" x14ac:dyDescent="0.25">
      <c r="A53" s="149" t="s">
        <v>1203</v>
      </c>
      <c r="B53" s="150" t="s">
        <v>1298</v>
      </c>
      <c r="C53" s="150" t="s">
        <v>1299</v>
      </c>
      <c r="D53" s="150" t="s">
        <v>1258</v>
      </c>
      <c r="E53" s="173" t="s">
        <v>1297</v>
      </c>
      <c r="G53">
        <f t="shared" si="31"/>
        <v>16376</v>
      </c>
      <c r="H53">
        <f t="shared" si="27"/>
        <v>15.9921875</v>
      </c>
      <c r="I53" t="str">
        <f t="shared" si="32"/>
        <v>ok</v>
      </c>
    </row>
    <row r="54" spans="1:9" x14ac:dyDescent="0.25">
      <c r="A54" s="149" t="s">
        <v>1203</v>
      </c>
      <c r="B54" s="150" t="s">
        <v>1295</v>
      </c>
      <c r="C54" s="150" t="s">
        <v>1296</v>
      </c>
      <c r="D54" s="150" t="s">
        <v>1196</v>
      </c>
      <c r="E54" s="173" t="s">
        <v>1867</v>
      </c>
      <c r="G54">
        <f t="shared" si="31"/>
        <v>8</v>
      </c>
      <c r="H54">
        <f t="shared" si="27"/>
        <v>7.8125E-3</v>
      </c>
      <c r="I54" t="str">
        <f t="shared" si="32"/>
        <v>ok</v>
      </c>
    </row>
    <row r="55" spans="1:9" x14ac:dyDescent="0.25">
      <c r="A55" s="149" t="s">
        <v>1203</v>
      </c>
      <c r="B55" s="150" t="s">
        <v>1291</v>
      </c>
      <c r="C55" s="150" t="s">
        <v>1292</v>
      </c>
      <c r="D55" s="150" t="s">
        <v>1258</v>
      </c>
      <c r="E55" s="173" t="s">
        <v>1293</v>
      </c>
      <c r="G55">
        <f t="shared" si="31"/>
        <v>16376</v>
      </c>
      <c r="H55">
        <f t="shared" si="27"/>
        <v>15.9921875</v>
      </c>
      <c r="I55" t="str">
        <f t="shared" si="32"/>
        <v>ok</v>
      </c>
    </row>
    <row r="56" spans="1:9" x14ac:dyDescent="0.25">
      <c r="A56" s="149" t="s">
        <v>1866</v>
      </c>
      <c r="B56" s="150" t="s">
        <v>1289</v>
      </c>
      <c r="C56" s="150" t="s">
        <v>1290</v>
      </c>
      <c r="D56" s="150" t="s">
        <v>1196</v>
      </c>
      <c r="E56" s="173" t="s">
        <v>1294</v>
      </c>
      <c r="G56">
        <f t="shared" ref="G56" si="33">(HEX2DEC(MID(C56,3,LEN(C56)-2)) - HEX2DEC(MID(B56,3,LEN(B56)-2))+1)/1024</f>
        <v>8</v>
      </c>
      <c r="H56">
        <f t="shared" si="27"/>
        <v>7.8125E-3</v>
      </c>
      <c r="I56" t="str">
        <f t="shared" ref="I56" si="34">IF((HEX2DEC(MID(B55,3,LEN(B55)-2)) - HEX2DEC(MID(C56,3,LEN(C56)-2)))=1,"ok","error")</f>
        <v>ok</v>
      </c>
    </row>
    <row r="57" spans="1:9" x14ac:dyDescent="0.25">
      <c r="A57" s="149" t="s">
        <v>1203</v>
      </c>
      <c r="B57" s="150" t="s">
        <v>1280</v>
      </c>
      <c r="C57" s="150" t="s">
        <v>1281</v>
      </c>
      <c r="D57" s="150" t="s">
        <v>1258</v>
      </c>
      <c r="E57" s="173" t="s">
        <v>1282</v>
      </c>
      <c r="G57">
        <f t="shared" ref="G57" si="35">(HEX2DEC(MID(C57,3,LEN(C57)-2)) - HEX2DEC(MID(B57,3,LEN(B57)-2))+1)/1024</f>
        <v>16376</v>
      </c>
      <c r="H57">
        <f t="shared" si="27"/>
        <v>15.9921875</v>
      </c>
      <c r="I57" t="str">
        <f t="shared" ref="I57" si="36">IF((HEX2DEC(MID(B56,3,LEN(B56)-2)) - HEX2DEC(MID(C57,3,LEN(C57)-2)))=1,"ok","error")</f>
        <v>ok</v>
      </c>
    </row>
    <row r="58" spans="1:9" x14ac:dyDescent="0.25">
      <c r="A58" s="149" t="s">
        <v>1276</v>
      </c>
      <c r="B58" s="150" t="s">
        <v>1277</v>
      </c>
      <c r="C58" s="150" t="s">
        <v>1278</v>
      </c>
      <c r="D58" s="150" t="s">
        <v>1196</v>
      </c>
      <c r="E58" s="173" t="s">
        <v>1279</v>
      </c>
      <c r="G58">
        <f t="shared" ref="G58:G68" si="37">(HEX2DEC(MID(C58,3,LEN(C58)-2)) - HEX2DEC(MID(B58,3,LEN(B58)-2))+1)/1024</f>
        <v>8</v>
      </c>
      <c r="H58">
        <f t="shared" si="27"/>
        <v>7.8125E-3</v>
      </c>
      <c r="I58" t="str">
        <f t="shared" ref="I58" si="38">IF((HEX2DEC(MID(B57,3,LEN(B57)-2)) - HEX2DEC(MID(C58,3,LEN(C58)-2)))=1,"ok","error")</f>
        <v>ok</v>
      </c>
    </row>
    <row r="59" spans="1:9" x14ac:dyDescent="0.25">
      <c r="A59" s="152" t="s">
        <v>1203</v>
      </c>
      <c r="B59" s="153" t="s">
        <v>1273</v>
      </c>
      <c r="C59" s="153" t="s">
        <v>1274</v>
      </c>
      <c r="D59" s="153" t="s">
        <v>1275</v>
      </c>
      <c r="E59" s="174" t="s">
        <v>1314</v>
      </c>
      <c r="G59">
        <f t="shared" ref="G59" si="39">(HEX2DEC(MID(C59,3,LEN(C59)-2)) - HEX2DEC(MID(B59,3,LEN(B59)-2))+1)/1024</f>
        <v>16384</v>
      </c>
      <c r="H59">
        <f t="shared" si="27"/>
        <v>16</v>
      </c>
      <c r="I59" t="str">
        <f t="shared" ref="I59:I80" si="40">IF((HEX2DEC(MID(B58,3,LEN(B58)-2)) - HEX2DEC(MID(C59,3,LEN(C59)-2)))=1,"ok","error")</f>
        <v>ok</v>
      </c>
    </row>
    <row r="60" spans="1:9" x14ac:dyDescent="0.25">
      <c r="A60" s="152" t="s">
        <v>1203</v>
      </c>
      <c r="B60" s="153" t="s">
        <v>1848</v>
      </c>
      <c r="C60" s="153" t="s">
        <v>1266</v>
      </c>
      <c r="D60" s="153" t="s">
        <v>1846</v>
      </c>
      <c r="E60" s="174" t="s">
        <v>1283</v>
      </c>
      <c r="G60">
        <f t="shared" si="37"/>
        <v>16368</v>
      </c>
      <c r="H60">
        <f t="shared" si="27"/>
        <v>15.984375</v>
      </c>
      <c r="I60" t="str">
        <f t="shared" si="40"/>
        <v>ok</v>
      </c>
    </row>
    <row r="61" spans="1:9" x14ac:dyDescent="0.25">
      <c r="A61" s="152" t="s">
        <v>1272</v>
      </c>
      <c r="B61" s="153" t="s">
        <v>1265</v>
      </c>
      <c r="C61" s="153" t="s">
        <v>1849</v>
      </c>
      <c r="D61" s="153" t="s">
        <v>1847</v>
      </c>
      <c r="E61" s="174" t="s">
        <v>1269</v>
      </c>
      <c r="G61">
        <f t="shared" si="37"/>
        <v>16</v>
      </c>
      <c r="H61">
        <f t="shared" si="27"/>
        <v>1.5625E-2</v>
      </c>
      <c r="I61" t="str">
        <f t="shared" ref="I61:I63" si="41">IF((HEX2DEC(MID(B60,3,LEN(B60)-2)) - HEX2DEC(MID(C61,3,LEN(C61)-2)))=1,"ok","error")</f>
        <v>ok</v>
      </c>
    </row>
    <row r="62" spans="1:9" x14ac:dyDescent="0.25">
      <c r="A62" s="152" t="s">
        <v>1203</v>
      </c>
      <c r="B62" s="153" t="s">
        <v>1845</v>
      </c>
      <c r="C62" s="153" t="s">
        <v>1268</v>
      </c>
      <c r="D62" s="153" t="s">
        <v>1846</v>
      </c>
      <c r="E62" s="174" t="s">
        <v>1284</v>
      </c>
      <c r="G62">
        <f t="shared" ref="G62:G63" si="42">(HEX2DEC(MID(C62,3,LEN(C62)-2)) - HEX2DEC(MID(B62,3,LEN(B62)-2))+1)/1024</f>
        <v>16368</v>
      </c>
      <c r="H62">
        <f t="shared" si="27"/>
        <v>15.984375</v>
      </c>
      <c r="I62" t="str">
        <f t="shared" si="41"/>
        <v>ok</v>
      </c>
    </row>
    <row r="63" spans="1:9" x14ac:dyDescent="0.25">
      <c r="A63" s="152" t="s">
        <v>1271</v>
      </c>
      <c r="B63" s="153" t="s">
        <v>1267</v>
      </c>
      <c r="C63" s="153" t="s">
        <v>1844</v>
      </c>
      <c r="D63" s="153" t="s">
        <v>1847</v>
      </c>
      <c r="E63" s="174" t="s">
        <v>1840</v>
      </c>
      <c r="G63">
        <f t="shared" si="42"/>
        <v>16</v>
      </c>
      <c r="H63">
        <f t="shared" si="27"/>
        <v>1.5625E-2</v>
      </c>
      <c r="I63" t="str">
        <f t="shared" si="41"/>
        <v>ok</v>
      </c>
    </row>
    <row r="64" spans="1:9" x14ac:dyDescent="0.25">
      <c r="A64" s="152" t="s">
        <v>1203</v>
      </c>
      <c r="B64" s="153" t="s">
        <v>1843</v>
      </c>
      <c r="C64" s="153" t="s">
        <v>1262</v>
      </c>
      <c r="D64" s="153" t="s">
        <v>1846</v>
      </c>
      <c r="E64" s="174" t="s">
        <v>1285</v>
      </c>
      <c r="G64">
        <f t="shared" si="37"/>
        <v>16368</v>
      </c>
      <c r="H64">
        <f t="shared" si="27"/>
        <v>15.984375</v>
      </c>
      <c r="I64" t="str">
        <f t="shared" si="40"/>
        <v>ok</v>
      </c>
    </row>
    <row r="65" spans="1:9" x14ac:dyDescent="0.25">
      <c r="A65" s="152" t="s">
        <v>1270</v>
      </c>
      <c r="B65" s="153" t="s">
        <v>1261</v>
      </c>
      <c r="C65" s="153" t="s">
        <v>1842</v>
      </c>
      <c r="D65" s="153" t="s">
        <v>1847</v>
      </c>
      <c r="E65" s="174" t="s">
        <v>1260</v>
      </c>
      <c r="G65">
        <f t="shared" si="37"/>
        <v>16</v>
      </c>
      <c r="H65">
        <f t="shared" si="27"/>
        <v>1.5625E-2</v>
      </c>
      <c r="I65" t="str">
        <f t="shared" si="40"/>
        <v>ok</v>
      </c>
    </row>
    <row r="66" spans="1:9" x14ac:dyDescent="0.25">
      <c r="A66" s="155" t="s">
        <v>1188</v>
      </c>
      <c r="B66" s="156" t="s">
        <v>1326</v>
      </c>
      <c r="C66" s="156" t="s">
        <v>1264</v>
      </c>
      <c r="D66" s="156" t="s">
        <v>1275</v>
      </c>
      <c r="E66" s="175" t="s">
        <v>1189</v>
      </c>
      <c r="G66">
        <f t="shared" si="37"/>
        <v>16384</v>
      </c>
      <c r="H66">
        <f t="shared" si="27"/>
        <v>16</v>
      </c>
      <c r="I66" t="str">
        <f t="shared" ref="I66" si="43">IF((HEX2DEC(MID(B65,3,LEN(B65)-2)) - HEX2DEC(MID(C66,3,LEN(C66)-2)))=1,"ok","error")</f>
        <v>ok</v>
      </c>
    </row>
    <row r="67" spans="1:9" x14ac:dyDescent="0.25">
      <c r="A67" s="158" t="s">
        <v>1203</v>
      </c>
      <c r="B67" s="159" t="s">
        <v>1341</v>
      </c>
      <c r="C67" s="159" t="s">
        <v>1325</v>
      </c>
      <c r="D67" s="159" t="s">
        <v>1258</v>
      </c>
      <c r="E67" s="176" t="s">
        <v>1286</v>
      </c>
      <c r="G67">
        <f t="shared" si="37"/>
        <v>16376</v>
      </c>
      <c r="H67">
        <f t="shared" si="27"/>
        <v>15.9921875</v>
      </c>
      <c r="I67" t="str">
        <f t="shared" si="40"/>
        <v>ok</v>
      </c>
    </row>
    <row r="68" spans="1:9" x14ac:dyDescent="0.25">
      <c r="A68" s="158" t="s">
        <v>1971</v>
      </c>
      <c r="B68" s="159" t="s">
        <v>1259</v>
      </c>
      <c r="C68" s="159" t="s">
        <v>1342</v>
      </c>
      <c r="D68" s="159" t="s">
        <v>1196</v>
      </c>
      <c r="E68" s="176" t="s">
        <v>1253</v>
      </c>
      <c r="G68">
        <f t="shared" si="37"/>
        <v>8</v>
      </c>
      <c r="H68">
        <f t="shared" si="27"/>
        <v>7.8125E-3</v>
      </c>
      <c r="I68" t="str">
        <f t="shared" si="40"/>
        <v>ok</v>
      </c>
    </row>
    <row r="69" spans="1:9" x14ac:dyDescent="0.25">
      <c r="A69" s="161" t="s">
        <v>1203</v>
      </c>
      <c r="B69" s="162" t="s">
        <v>1336</v>
      </c>
      <c r="C69" s="162" t="s">
        <v>1257</v>
      </c>
      <c r="D69" s="162" t="s">
        <v>1328</v>
      </c>
      <c r="E69" s="177" t="s">
        <v>1339</v>
      </c>
      <c r="G69">
        <f t="shared" ref="G69" si="44">(HEX2DEC(MID(C69,3,LEN(C69)-2)) - HEX2DEC(MID(B69,3,LEN(B69)-2))+1)/1024</f>
        <v>16320</v>
      </c>
      <c r="H69">
        <f t="shared" ref="H69" si="45">G69/1024</f>
        <v>15.9375</v>
      </c>
      <c r="I69" t="str">
        <f t="shared" si="40"/>
        <v>ok</v>
      </c>
    </row>
    <row r="70" spans="1:9" x14ac:dyDescent="0.25">
      <c r="A70" s="161" t="s">
        <v>1203</v>
      </c>
      <c r="B70" s="162" t="s">
        <v>1334</v>
      </c>
      <c r="C70" s="162" t="s">
        <v>1335</v>
      </c>
      <c r="D70" s="162" t="s">
        <v>1331</v>
      </c>
      <c r="E70" s="177" t="s">
        <v>1340</v>
      </c>
      <c r="G70">
        <f t="shared" ref="G70" si="46">(HEX2DEC(MID(C70,3,LEN(C70)-2)) - HEX2DEC(MID(B70,3,LEN(B70)-2))+1)/1024</f>
        <v>24</v>
      </c>
      <c r="H70">
        <f t="shared" si="27"/>
        <v>2.34375E-2</v>
      </c>
      <c r="I70" t="str">
        <f t="shared" si="40"/>
        <v>ok</v>
      </c>
    </row>
    <row r="71" spans="1:9" x14ac:dyDescent="0.25">
      <c r="A71" s="161" t="s">
        <v>1970</v>
      </c>
      <c r="B71" s="162" t="s">
        <v>1332</v>
      </c>
      <c r="C71" s="162" t="s">
        <v>1333</v>
      </c>
      <c r="D71" s="162" t="s">
        <v>1196</v>
      </c>
      <c r="E71" s="177" t="s">
        <v>841</v>
      </c>
      <c r="G71">
        <f t="shared" si="26"/>
        <v>8</v>
      </c>
      <c r="H71">
        <f t="shared" si="27"/>
        <v>7.8125E-3</v>
      </c>
      <c r="I71" t="str">
        <f t="shared" si="40"/>
        <v>ok</v>
      </c>
    </row>
    <row r="72" spans="1:9" x14ac:dyDescent="0.25">
      <c r="A72" s="161" t="s">
        <v>1203</v>
      </c>
      <c r="B72" s="162" t="s">
        <v>1256</v>
      </c>
      <c r="C72" s="162" t="s">
        <v>1330</v>
      </c>
      <c r="D72" s="162" t="s">
        <v>1331</v>
      </c>
      <c r="E72" s="177" t="s">
        <v>1839</v>
      </c>
      <c r="G72">
        <f t="shared" ref="G72" si="47">(HEX2DEC(MID(C72,3,LEN(C72)-2)) - HEX2DEC(MID(B72,3,LEN(B72)-2))+1)/1024</f>
        <v>24</v>
      </c>
      <c r="H72">
        <f t="shared" si="27"/>
        <v>2.34375E-2</v>
      </c>
      <c r="I72" t="str">
        <f t="shared" si="40"/>
        <v>ok</v>
      </c>
    </row>
    <row r="73" spans="1:9" x14ac:dyDescent="0.25">
      <c r="A73" s="161" t="s">
        <v>1969</v>
      </c>
      <c r="B73" s="162" t="s">
        <v>1254</v>
      </c>
      <c r="C73" s="162" t="s">
        <v>1255</v>
      </c>
      <c r="D73" s="162" t="s">
        <v>1196</v>
      </c>
      <c r="E73" s="177" t="s">
        <v>1250</v>
      </c>
      <c r="G73">
        <f t="shared" si="26"/>
        <v>8</v>
      </c>
      <c r="H73">
        <f t="shared" si="27"/>
        <v>7.8125E-3</v>
      </c>
      <c r="I73" t="str">
        <f t="shared" ref="I73:I98" si="48">IF((HEX2DEC(MID(B72,3,LEN(B72)-2)) - HEX2DEC(MID(C73,3,LEN(C73)-2)))=1,"ok","error")</f>
        <v>ok</v>
      </c>
    </row>
    <row r="74" spans="1:9" x14ac:dyDescent="0.25">
      <c r="A74" s="164" t="s">
        <v>1203</v>
      </c>
      <c r="B74" s="165" t="s">
        <v>1251</v>
      </c>
      <c r="C74" s="165" t="s">
        <v>1263</v>
      </c>
      <c r="D74" s="165" t="s">
        <v>1337</v>
      </c>
      <c r="E74" s="178" t="s">
        <v>1338</v>
      </c>
      <c r="G74">
        <f t="shared" si="26"/>
        <v>16064</v>
      </c>
      <c r="H74">
        <f t="shared" si="27"/>
        <v>15.6875</v>
      </c>
      <c r="I74" t="str">
        <f t="shared" si="40"/>
        <v>ok</v>
      </c>
    </row>
    <row r="75" spans="1:9" x14ac:dyDescent="0.25">
      <c r="A75" s="164" t="s">
        <v>1968</v>
      </c>
      <c r="B75" s="165" t="s">
        <v>1835</v>
      </c>
      <c r="C75" s="165" t="s">
        <v>1240</v>
      </c>
      <c r="D75" s="165" t="s">
        <v>1196</v>
      </c>
      <c r="E75" s="178" t="s">
        <v>1236</v>
      </c>
      <c r="G75">
        <f t="shared" si="26"/>
        <v>8</v>
      </c>
      <c r="H75">
        <f t="shared" si="27"/>
        <v>7.8125E-3</v>
      </c>
      <c r="I75" t="str">
        <f t="shared" si="40"/>
        <v>ok</v>
      </c>
    </row>
    <row r="76" spans="1:9" x14ac:dyDescent="0.25">
      <c r="A76" s="164" t="s">
        <v>1967</v>
      </c>
      <c r="B76" s="165" t="s">
        <v>1834</v>
      </c>
      <c r="C76" s="165" t="s">
        <v>1838</v>
      </c>
      <c r="D76" s="165" t="s">
        <v>1196</v>
      </c>
      <c r="E76" s="178" t="s">
        <v>1235</v>
      </c>
      <c r="G76">
        <f t="shared" ref="G76:G78" si="49">(HEX2DEC(MID(C76,3,LEN(C76)-2)) - HEX2DEC(MID(B76,3,LEN(B76)-2))+1)/1024</f>
        <v>8</v>
      </c>
      <c r="H76">
        <f t="shared" ref="H76:H78" si="50">G76/1024</f>
        <v>7.8125E-3</v>
      </c>
      <c r="I76" t="str">
        <f t="shared" ref="I76" si="51">IF((HEX2DEC(MID(B75,3,LEN(B75)-2)) - HEX2DEC(MID(C76,3,LEN(C76)-2)))=1,"ok","error")</f>
        <v>ok</v>
      </c>
    </row>
    <row r="77" spans="1:9" x14ac:dyDescent="0.25">
      <c r="A77" s="164" t="s">
        <v>1966</v>
      </c>
      <c r="B77" s="165" t="s">
        <v>1833</v>
      </c>
      <c r="C77" s="165" t="s">
        <v>1837</v>
      </c>
      <c r="D77" s="165" t="s">
        <v>1196</v>
      </c>
      <c r="E77" s="178" t="s">
        <v>1231</v>
      </c>
      <c r="G77">
        <f t="shared" si="49"/>
        <v>8</v>
      </c>
      <c r="H77">
        <f t="shared" si="50"/>
        <v>7.8125E-3</v>
      </c>
      <c r="I77" t="str">
        <f t="shared" ref="I77:I78" si="52">IF((HEX2DEC(MID(B76,3,LEN(B76)-2)) - HEX2DEC(MID(C77,3,LEN(C77)-2)))=1,"ok","error")</f>
        <v>ok</v>
      </c>
    </row>
    <row r="78" spans="1:9" x14ac:dyDescent="0.25">
      <c r="A78" s="164" t="s">
        <v>1965</v>
      </c>
      <c r="B78" s="165" t="s">
        <v>1832</v>
      </c>
      <c r="C78" s="165" t="s">
        <v>1836</v>
      </c>
      <c r="D78" s="165" t="s">
        <v>1196</v>
      </c>
      <c r="E78" s="178" t="s">
        <v>1230</v>
      </c>
      <c r="G78">
        <f t="shared" si="49"/>
        <v>8</v>
      </c>
      <c r="H78">
        <f t="shared" si="50"/>
        <v>7.8125E-3</v>
      </c>
      <c r="I78" t="str">
        <f t="shared" si="52"/>
        <v>ok</v>
      </c>
    </row>
    <row r="79" spans="1:9" x14ac:dyDescent="0.25">
      <c r="A79" s="164" t="s">
        <v>1964</v>
      </c>
      <c r="B79" s="165" t="s">
        <v>1822</v>
      </c>
      <c r="C79" s="165" t="s">
        <v>1823</v>
      </c>
      <c r="D79" s="165" t="s">
        <v>1196</v>
      </c>
      <c r="E79" s="178" t="s">
        <v>1236</v>
      </c>
      <c r="G79">
        <f t="shared" si="26"/>
        <v>8</v>
      </c>
      <c r="H79">
        <f t="shared" si="27"/>
        <v>7.8125E-3</v>
      </c>
      <c r="I79" t="str">
        <f t="shared" si="40"/>
        <v>ok</v>
      </c>
    </row>
    <row r="80" spans="1:9" x14ac:dyDescent="0.25">
      <c r="A80" s="164" t="s">
        <v>1963</v>
      </c>
      <c r="B80" s="165" t="s">
        <v>1239</v>
      </c>
      <c r="C80" s="165" t="s">
        <v>1824</v>
      </c>
      <c r="D80" s="165" t="s">
        <v>1196</v>
      </c>
      <c r="E80" s="178" t="s">
        <v>1235</v>
      </c>
      <c r="G80">
        <f t="shared" si="26"/>
        <v>8</v>
      </c>
      <c r="H80">
        <f t="shared" si="27"/>
        <v>7.8125E-3</v>
      </c>
      <c r="I80" t="str">
        <f t="shared" si="40"/>
        <v>ok</v>
      </c>
    </row>
    <row r="81" spans="1:9" x14ac:dyDescent="0.25">
      <c r="A81" s="164" t="s">
        <v>1962</v>
      </c>
      <c r="B81" s="165" t="s">
        <v>1237</v>
      </c>
      <c r="C81" s="165" t="s">
        <v>1238</v>
      </c>
      <c r="D81" s="165" t="s">
        <v>1196</v>
      </c>
      <c r="E81" s="178" t="s">
        <v>1231</v>
      </c>
      <c r="G81">
        <f t="shared" si="26"/>
        <v>8</v>
      </c>
      <c r="H81">
        <f t="shared" si="27"/>
        <v>7.8125E-3</v>
      </c>
      <c r="I81" t="str">
        <f>IF((HEX2DEC(MID(B80,3,LEN(B80)-2)) - HEX2DEC(MID(C81,3,LEN(C81)-2)))=1,"ok","error")</f>
        <v>ok</v>
      </c>
    </row>
    <row r="82" spans="1:9" x14ac:dyDescent="0.25">
      <c r="A82" s="164" t="s">
        <v>1961</v>
      </c>
      <c r="B82" s="165" t="s">
        <v>1233</v>
      </c>
      <c r="C82" s="165" t="s">
        <v>1234</v>
      </c>
      <c r="D82" s="165" t="s">
        <v>1196</v>
      </c>
      <c r="E82" s="178" t="s">
        <v>1230</v>
      </c>
      <c r="G82">
        <f t="shared" si="26"/>
        <v>8</v>
      </c>
      <c r="H82">
        <f t="shared" si="27"/>
        <v>7.8125E-3</v>
      </c>
      <c r="I82" t="str">
        <f t="shared" si="48"/>
        <v>ok</v>
      </c>
    </row>
    <row r="83" spans="1:9" x14ac:dyDescent="0.25">
      <c r="A83" s="164" t="s">
        <v>1203</v>
      </c>
      <c r="B83" s="165" t="s">
        <v>1229</v>
      </c>
      <c r="C83" s="165" t="s">
        <v>1232</v>
      </c>
      <c r="D83" s="165" t="s">
        <v>1329</v>
      </c>
      <c r="E83" s="178" t="s">
        <v>1338</v>
      </c>
      <c r="G83">
        <f t="shared" si="26"/>
        <v>64</v>
      </c>
      <c r="H83">
        <f t="shared" si="27"/>
        <v>6.25E-2</v>
      </c>
      <c r="I83" t="str">
        <f t="shared" si="48"/>
        <v>ok</v>
      </c>
    </row>
    <row r="84" spans="1:9" x14ac:dyDescent="0.25">
      <c r="A84" s="164" t="s">
        <v>1203</v>
      </c>
      <c r="B84" s="165" t="s">
        <v>1831</v>
      </c>
      <c r="C84" s="165" t="s">
        <v>1228</v>
      </c>
      <c r="D84" s="165" t="s">
        <v>1331</v>
      </c>
      <c r="E84" s="178" t="s">
        <v>1830</v>
      </c>
      <c r="G84">
        <f t="shared" si="26"/>
        <v>24</v>
      </c>
      <c r="H84">
        <f t="shared" si="27"/>
        <v>2.34375E-2</v>
      </c>
      <c r="I84" t="str">
        <f>IF((HEX2DEC(MID(B83,3,LEN(B83)-2)) - HEX2DEC(MID(C84,3,LEN(C84)-2)))=1,"ok","error")</f>
        <v>ok</v>
      </c>
    </row>
    <row r="85" spans="1:9" x14ac:dyDescent="0.25">
      <c r="A85" s="164" t="s">
        <v>1960</v>
      </c>
      <c r="B85" s="165" t="s">
        <v>1227</v>
      </c>
      <c r="C85" s="165" t="s">
        <v>1825</v>
      </c>
      <c r="D85" s="165" t="s">
        <v>1196</v>
      </c>
      <c r="E85" s="178" t="s">
        <v>1804</v>
      </c>
      <c r="G85">
        <f t="shared" ref="G85" si="53">(HEX2DEC(MID(C85,3,LEN(C85)-2)) - HEX2DEC(MID(B85,3,LEN(B85)-2))+1)/1024</f>
        <v>8</v>
      </c>
      <c r="H85">
        <f t="shared" ref="H85" si="54">G85/1024</f>
        <v>7.8125E-3</v>
      </c>
      <c r="I85" t="str">
        <f>IF((HEX2DEC(MID(B84,3,LEN(B84)-2)) - HEX2DEC(MID(C85,3,LEN(C85)-2)))=1,"ok","error")</f>
        <v>ok</v>
      </c>
    </row>
    <row r="86" spans="1:9" x14ac:dyDescent="0.25">
      <c r="A86" s="164" t="s">
        <v>1959</v>
      </c>
      <c r="B86" s="165" t="s">
        <v>1222</v>
      </c>
      <c r="C86" s="165" t="s">
        <v>1223</v>
      </c>
      <c r="D86" s="165" t="s">
        <v>1196</v>
      </c>
      <c r="E86" s="178" t="s">
        <v>1829</v>
      </c>
      <c r="G86">
        <f t="shared" si="26"/>
        <v>8</v>
      </c>
      <c r="H86">
        <f t="shared" si="27"/>
        <v>7.8125E-3</v>
      </c>
      <c r="I86" t="str">
        <f>IF((HEX2DEC(MID(B85,3,LEN(B85)-2)) - HEX2DEC(MID(C86,3,LEN(C86)-2)))=1,"ok","error")</f>
        <v>ok</v>
      </c>
    </row>
    <row r="87" spans="1:9" x14ac:dyDescent="0.25">
      <c r="A87" s="164" t="s">
        <v>1958</v>
      </c>
      <c r="B87" s="165" t="s">
        <v>1221</v>
      </c>
      <c r="C87" s="165" t="s">
        <v>1224</v>
      </c>
      <c r="D87" s="165" t="s">
        <v>1196</v>
      </c>
      <c r="E87" s="178" t="s">
        <v>1828</v>
      </c>
      <c r="G87">
        <f t="shared" si="26"/>
        <v>8</v>
      </c>
      <c r="H87">
        <f t="shared" si="27"/>
        <v>7.8125E-3</v>
      </c>
      <c r="I87" t="str">
        <f t="shared" si="48"/>
        <v>ok</v>
      </c>
    </row>
    <row r="88" spans="1:9" x14ac:dyDescent="0.25">
      <c r="A88" s="164" t="s">
        <v>1957</v>
      </c>
      <c r="B88" s="165" t="s">
        <v>1220</v>
      </c>
      <c r="C88" s="165" t="s">
        <v>1225</v>
      </c>
      <c r="D88" s="165" t="s">
        <v>1196</v>
      </c>
      <c r="E88" s="178" t="s">
        <v>1826</v>
      </c>
      <c r="G88">
        <f t="shared" si="26"/>
        <v>8</v>
      </c>
      <c r="H88">
        <f t="shared" si="27"/>
        <v>7.8125E-3</v>
      </c>
      <c r="I88" t="str">
        <f t="shared" si="48"/>
        <v>ok</v>
      </c>
    </row>
    <row r="89" spans="1:9" x14ac:dyDescent="0.25">
      <c r="A89" s="164" t="s">
        <v>1956</v>
      </c>
      <c r="B89" s="165" t="s">
        <v>1219</v>
      </c>
      <c r="C89" s="165" t="s">
        <v>1226</v>
      </c>
      <c r="D89" s="165" t="s">
        <v>1196</v>
      </c>
      <c r="E89" s="178" t="s">
        <v>1827</v>
      </c>
      <c r="G89">
        <f t="shared" si="26"/>
        <v>8</v>
      </c>
      <c r="H89">
        <f t="shared" si="27"/>
        <v>7.8125E-3</v>
      </c>
      <c r="I89" t="str">
        <f t="shared" si="48"/>
        <v>ok</v>
      </c>
    </row>
    <row r="90" spans="1:9" x14ac:dyDescent="0.25">
      <c r="A90" s="164" t="s">
        <v>1203</v>
      </c>
      <c r="B90" s="165" t="s">
        <v>1209</v>
      </c>
      <c r="C90" s="165" t="s">
        <v>1210</v>
      </c>
      <c r="D90" s="165" t="s">
        <v>1218</v>
      </c>
      <c r="E90" s="178" t="s">
        <v>1288</v>
      </c>
      <c r="G90">
        <f t="shared" si="26"/>
        <v>48</v>
      </c>
      <c r="H90">
        <f t="shared" si="27"/>
        <v>4.6875E-2</v>
      </c>
      <c r="I90" t="str">
        <f t="shared" si="48"/>
        <v>ok</v>
      </c>
    </row>
    <row r="91" spans="1:9" x14ac:dyDescent="0.25">
      <c r="A91" s="164" t="s">
        <v>1955</v>
      </c>
      <c r="B91" s="165" t="s">
        <v>1208</v>
      </c>
      <c r="C91" s="165" t="s">
        <v>1211</v>
      </c>
      <c r="D91" s="165" t="s">
        <v>1196</v>
      </c>
      <c r="E91" s="178" t="s">
        <v>1217</v>
      </c>
      <c r="G91">
        <f t="shared" si="26"/>
        <v>8</v>
      </c>
      <c r="H91">
        <f t="shared" si="27"/>
        <v>7.8125E-3</v>
      </c>
      <c r="I91" t="str">
        <f t="shared" si="48"/>
        <v>ok</v>
      </c>
    </row>
    <row r="92" spans="1:9" x14ac:dyDescent="0.25">
      <c r="A92" s="164" t="s">
        <v>1954</v>
      </c>
      <c r="B92" s="165" t="s">
        <v>1207</v>
      </c>
      <c r="C92" s="165" t="s">
        <v>1216</v>
      </c>
      <c r="D92" s="165" t="s">
        <v>1196</v>
      </c>
      <c r="E92" s="178" t="s">
        <v>1213</v>
      </c>
      <c r="G92">
        <f t="shared" si="26"/>
        <v>8</v>
      </c>
      <c r="H92">
        <f t="shared" si="27"/>
        <v>7.8125E-3</v>
      </c>
      <c r="I92" t="str">
        <f t="shared" si="48"/>
        <v>ok</v>
      </c>
    </row>
    <row r="93" spans="1:9" x14ac:dyDescent="0.25">
      <c r="A93" s="164" t="s">
        <v>1203</v>
      </c>
      <c r="B93" s="165" t="s">
        <v>1204</v>
      </c>
      <c r="C93" s="165" t="s">
        <v>1205</v>
      </c>
      <c r="D93" s="165" t="s">
        <v>1206</v>
      </c>
      <c r="E93" s="178" t="s">
        <v>1287</v>
      </c>
      <c r="G93">
        <f t="shared" si="26"/>
        <v>32</v>
      </c>
      <c r="H93">
        <f t="shared" si="27"/>
        <v>3.125E-2</v>
      </c>
      <c r="I93" t="str">
        <f t="shared" si="48"/>
        <v>ok</v>
      </c>
    </row>
    <row r="94" spans="1:9" x14ac:dyDescent="0.25">
      <c r="A94" s="164" t="s">
        <v>1952</v>
      </c>
      <c r="B94" s="165" t="s">
        <v>1200</v>
      </c>
      <c r="C94" s="165" t="s">
        <v>1201</v>
      </c>
      <c r="D94" s="165" t="s">
        <v>1196</v>
      </c>
      <c r="E94" s="178" t="s">
        <v>800</v>
      </c>
      <c r="G94">
        <f t="shared" si="26"/>
        <v>8</v>
      </c>
      <c r="H94">
        <f t="shared" si="27"/>
        <v>7.8125E-3</v>
      </c>
      <c r="I94" t="str">
        <f t="shared" si="48"/>
        <v>ok</v>
      </c>
    </row>
    <row r="95" spans="1:9" x14ac:dyDescent="0.25">
      <c r="A95" s="164" t="s">
        <v>1953</v>
      </c>
      <c r="B95" s="165" t="s">
        <v>1199</v>
      </c>
      <c r="C95" s="165" t="s">
        <v>1202</v>
      </c>
      <c r="D95" s="165" t="s">
        <v>1196</v>
      </c>
      <c r="E95" s="178" t="s">
        <v>1215</v>
      </c>
      <c r="G95">
        <f t="shared" si="26"/>
        <v>8</v>
      </c>
      <c r="H95">
        <f t="shared" si="27"/>
        <v>7.8125E-3</v>
      </c>
      <c r="I95" t="str">
        <f t="shared" si="48"/>
        <v>ok</v>
      </c>
    </row>
    <row r="96" spans="1:9" x14ac:dyDescent="0.25">
      <c r="A96" s="164" t="s">
        <v>1951</v>
      </c>
      <c r="B96" s="165" t="s">
        <v>1195</v>
      </c>
      <c r="C96" s="165" t="s">
        <v>1198</v>
      </c>
      <c r="D96" s="165" t="s">
        <v>1196</v>
      </c>
      <c r="E96" s="178" t="s">
        <v>1214</v>
      </c>
      <c r="G96">
        <f t="shared" si="26"/>
        <v>8</v>
      </c>
      <c r="H96">
        <f t="shared" si="27"/>
        <v>7.8125E-3</v>
      </c>
      <c r="I96" t="str">
        <f t="shared" si="48"/>
        <v>ok</v>
      </c>
    </row>
    <row r="97" spans="1:9" x14ac:dyDescent="0.25">
      <c r="A97" s="164" t="s">
        <v>1950</v>
      </c>
      <c r="B97" s="165" t="s">
        <v>1176</v>
      </c>
      <c r="C97" s="165" t="s">
        <v>1197</v>
      </c>
      <c r="D97" s="165" t="s">
        <v>1196</v>
      </c>
      <c r="E97" s="178" t="s">
        <v>1212</v>
      </c>
      <c r="G97">
        <f t="shared" si="26"/>
        <v>8</v>
      </c>
      <c r="H97">
        <f t="shared" si="27"/>
        <v>7.8125E-3</v>
      </c>
      <c r="I97" t="str">
        <f t="shared" si="48"/>
        <v>ok</v>
      </c>
    </row>
    <row r="98" spans="1:9" x14ac:dyDescent="0.25">
      <c r="A98" s="68" t="s">
        <v>1949</v>
      </c>
      <c r="B98" s="69" t="s">
        <v>1178</v>
      </c>
      <c r="C98" s="69" t="s">
        <v>1179</v>
      </c>
      <c r="D98" s="69" t="s">
        <v>1183</v>
      </c>
      <c r="E98" s="70" t="s">
        <v>1841</v>
      </c>
      <c r="G98">
        <f t="shared" si="26"/>
        <v>1048576</v>
      </c>
      <c r="H98">
        <f t="shared" si="27"/>
        <v>1024</v>
      </c>
      <c r="I98" t="str">
        <f t="shared" si="48"/>
        <v>ok</v>
      </c>
    </row>
    <row r="99" spans="1:9" x14ac:dyDescent="0.25">
      <c r="A99" s="65" t="s">
        <v>1948</v>
      </c>
      <c r="B99" s="66" t="s">
        <v>1820</v>
      </c>
      <c r="C99" s="66" t="s">
        <v>1181</v>
      </c>
      <c r="D99" s="66" t="s">
        <v>1183</v>
      </c>
      <c r="E99" s="67" t="s">
        <v>1821</v>
      </c>
      <c r="G99">
        <f t="shared" ref="G99:G103" si="55">(HEX2DEC(MID(C99,3,LEN(C99)-2)) - HEX2DEC(MID(B99,3,LEN(B99)-2))+1)/1024</f>
        <v>1048576</v>
      </c>
      <c r="H99">
        <f t="shared" ref="H99:H103" si="56">G99/1024</f>
        <v>1024</v>
      </c>
      <c r="I99" t="str">
        <f t="shared" ref="I99:I103" si="57">IF((HEX2DEC(MID(B98,3,LEN(B98)-2)) - HEX2DEC(MID(C99,3,LEN(C99)-2)))=1,"ok","error")</f>
        <v>ok</v>
      </c>
    </row>
    <row r="100" spans="1:9" ht="30" x14ac:dyDescent="0.25">
      <c r="A100" s="179" t="s">
        <v>1850</v>
      </c>
      <c r="B100" s="180" t="s">
        <v>1817</v>
      </c>
      <c r="C100" s="180" t="s">
        <v>1818</v>
      </c>
      <c r="D100" s="180" t="s">
        <v>1187</v>
      </c>
      <c r="E100" s="181" t="s">
        <v>1852</v>
      </c>
      <c r="G100">
        <f t="shared" si="55"/>
        <v>524288</v>
      </c>
      <c r="H100">
        <f t="shared" si="56"/>
        <v>512</v>
      </c>
      <c r="I100" t="str">
        <f t="shared" si="57"/>
        <v>ok</v>
      </c>
    </row>
    <row r="101" spans="1:9" x14ac:dyDescent="0.25">
      <c r="A101" s="182" t="s">
        <v>1862</v>
      </c>
      <c r="B101" s="183" t="s">
        <v>1863</v>
      </c>
      <c r="C101" s="183" t="s">
        <v>1819</v>
      </c>
      <c r="D101" s="183" t="s">
        <v>1244</v>
      </c>
      <c r="E101" s="184" t="s">
        <v>1864</v>
      </c>
      <c r="G101">
        <f t="shared" si="55"/>
        <v>262144</v>
      </c>
      <c r="H101">
        <f t="shared" si="56"/>
        <v>256</v>
      </c>
      <c r="I101" t="str">
        <f t="shared" si="57"/>
        <v>ok</v>
      </c>
    </row>
    <row r="102" spans="1:9" x14ac:dyDescent="0.25">
      <c r="A102" s="188" t="s">
        <v>1947</v>
      </c>
      <c r="B102" s="189" t="s">
        <v>2010</v>
      </c>
      <c r="C102" s="189" t="s">
        <v>1865</v>
      </c>
      <c r="D102" s="189" t="s">
        <v>1323</v>
      </c>
      <c r="E102" s="190" t="s">
        <v>1816</v>
      </c>
      <c r="G102">
        <f t="shared" si="55"/>
        <v>131072</v>
      </c>
      <c r="H102">
        <f t="shared" si="56"/>
        <v>128</v>
      </c>
      <c r="I102" t="str">
        <f t="shared" si="57"/>
        <v>ok</v>
      </c>
    </row>
    <row r="103" spans="1:9" ht="30.75" thickBot="1" x14ac:dyDescent="0.3">
      <c r="A103" s="191" t="s">
        <v>1946</v>
      </c>
      <c r="B103" s="192" t="s">
        <v>1180</v>
      </c>
      <c r="C103" s="192" t="s">
        <v>2011</v>
      </c>
      <c r="D103" s="192" t="s">
        <v>1323</v>
      </c>
      <c r="E103" s="193" t="s">
        <v>1811</v>
      </c>
      <c r="G103">
        <f t="shared" si="55"/>
        <v>131072</v>
      </c>
      <c r="H103">
        <f t="shared" si="56"/>
        <v>128</v>
      </c>
      <c r="I103" t="str">
        <f t="shared" si="57"/>
        <v>ok</v>
      </c>
    </row>
  </sheetData>
  <mergeCells count="1">
    <mergeCell ref="G5:J5"/>
  </mergeCells>
  <pageMargins left="0.7" right="0.7" top="0.75" bottom="0.75" header="0.3" footer="0.3"/>
  <pageSetup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15"/>
  <sheetViews>
    <sheetView workbookViewId="0"/>
  </sheetViews>
  <sheetFormatPr defaultRowHeight="15" x14ac:dyDescent="0.25"/>
  <cols>
    <col min="1" max="1" width="15.28515625" customWidth="1"/>
    <col min="2" max="2" width="17.28515625" customWidth="1"/>
  </cols>
  <sheetData>
    <row r="1" spans="1:2" ht="47.25" x14ac:dyDescent="0.25">
      <c r="A1" s="71" t="s">
        <v>1365</v>
      </c>
      <c r="B1" s="72" t="s">
        <v>1369</v>
      </c>
    </row>
    <row r="2" spans="1:2" x14ac:dyDescent="0.25">
      <c r="A2" s="13">
        <v>0</v>
      </c>
      <c r="B2" s="46" t="s">
        <v>1996</v>
      </c>
    </row>
    <row r="3" spans="1:2" x14ac:dyDescent="0.25">
      <c r="A3" s="13">
        <v>1</v>
      </c>
      <c r="B3" s="46" t="s">
        <v>1997</v>
      </c>
    </row>
    <row r="4" spans="1:2" x14ac:dyDescent="0.25">
      <c r="A4" s="13">
        <v>2</v>
      </c>
      <c r="B4" s="46" t="s">
        <v>1998</v>
      </c>
    </row>
    <row r="5" spans="1:2" x14ac:dyDescent="0.25">
      <c r="A5" s="13">
        <v>3</v>
      </c>
      <c r="B5" s="46" t="s">
        <v>1999</v>
      </c>
    </row>
    <row r="6" spans="1:2" x14ac:dyDescent="0.25">
      <c r="A6" s="13">
        <v>4</v>
      </c>
      <c r="B6" s="46" t="s">
        <v>2000</v>
      </c>
    </row>
    <row r="7" spans="1:2" x14ac:dyDescent="0.25">
      <c r="A7" s="13">
        <v>5</v>
      </c>
      <c r="B7" s="46" t="s">
        <v>2001</v>
      </c>
    </row>
    <row r="8" spans="1:2" x14ac:dyDescent="0.25">
      <c r="A8" s="13">
        <v>6</v>
      </c>
      <c r="B8" s="46" t="s">
        <v>2002</v>
      </c>
    </row>
    <row r="9" spans="1:2" x14ac:dyDescent="0.25">
      <c r="A9" s="13">
        <v>7</v>
      </c>
      <c r="B9" s="46" t="s">
        <v>2003</v>
      </c>
    </row>
    <row r="10" spans="1:2" x14ac:dyDescent="0.25">
      <c r="A10" s="13">
        <v>8</v>
      </c>
      <c r="B10" s="46" t="s">
        <v>2004</v>
      </c>
    </row>
    <row r="11" spans="1:2" x14ac:dyDescent="0.25">
      <c r="A11" s="13">
        <v>9</v>
      </c>
      <c r="B11" s="46" t="s">
        <v>2005</v>
      </c>
    </row>
    <row r="12" spans="1:2" x14ac:dyDescent="0.25">
      <c r="A12" s="13">
        <v>10</v>
      </c>
      <c r="B12" s="46" t="s">
        <v>2006</v>
      </c>
    </row>
    <row r="13" spans="1:2" x14ac:dyDescent="0.25">
      <c r="A13" s="13">
        <v>11</v>
      </c>
      <c r="B13" s="46" t="s">
        <v>2007</v>
      </c>
    </row>
    <row r="14" spans="1:2" x14ac:dyDescent="0.25">
      <c r="A14" s="13">
        <v>12</v>
      </c>
      <c r="B14" s="46" t="s">
        <v>2008</v>
      </c>
    </row>
    <row r="15" spans="1:2" ht="15.75" thickBot="1" x14ac:dyDescent="0.3">
      <c r="A15" s="14">
        <v>13</v>
      </c>
      <c r="B15" s="47" t="s">
        <v>2009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2"/>
  <sheetViews>
    <sheetView workbookViewId="0"/>
  </sheetViews>
  <sheetFormatPr defaultRowHeight="15" x14ac:dyDescent="0.25"/>
  <cols>
    <col min="1" max="1" width="21" customWidth="1"/>
    <col min="2" max="6" width="8.7109375" customWidth="1"/>
    <col min="7" max="7" width="46" customWidth="1"/>
    <col min="8" max="8" width="77.5703125" customWidth="1"/>
  </cols>
  <sheetData>
    <row r="1" spans="1:7" x14ac:dyDescent="0.25">
      <c r="A1" t="s">
        <v>1503</v>
      </c>
      <c r="B1" s="87">
        <v>0.7</v>
      </c>
    </row>
    <row r="2" spans="1:7" x14ac:dyDescent="0.25">
      <c r="A2" t="s">
        <v>1526</v>
      </c>
      <c r="B2" s="99">
        <v>0.7056</v>
      </c>
    </row>
    <row r="3" spans="1:7" ht="15.75" thickBot="1" x14ac:dyDescent="0.3"/>
    <row r="4" spans="1:7" ht="30" x14ac:dyDescent="0.25">
      <c r="A4" s="93"/>
      <c r="B4" s="98" t="s">
        <v>1530</v>
      </c>
      <c r="C4" s="98" t="s">
        <v>1529</v>
      </c>
      <c r="D4" s="98" t="s">
        <v>1525</v>
      </c>
      <c r="E4" s="98" t="s">
        <v>1528</v>
      </c>
      <c r="F4" s="98" t="s">
        <v>1504</v>
      </c>
      <c r="G4" s="94" t="s">
        <v>718</v>
      </c>
    </row>
    <row r="5" spans="1:7" ht="30" x14ac:dyDescent="0.25">
      <c r="A5" s="33" t="s">
        <v>1499</v>
      </c>
      <c r="B5" s="41">
        <f>2*14164+10686+16480</f>
        <v>55494</v>
      </c>
      <c r="C5" s="41">
        <f>C9-C8</f>
        <v>126466</v>
      </c>
      <c r="D5" s="91">
        <f>C5/$B$2</f>
        <v>179231.85941043083</v>
      </c>
      <c r="E5" s="91">
        <f>B5+C5/$B$1</f>
        <v>236159.71428571429</v>
      </c>
      <c r="F5" s="92">
        <f>E5/$E$22</f>
        <v>0.12625327792129079</v>
      </c>
      <c r="G5" s="16" t="s">
        <v>1510</v>
      </c>
    </row>
    <row r="6" spans="1:7" x14ac:dyDescent="0.25">
      <c r="A6" s="33" t="s">
        <v>1500</v>
      </c>
      <c r="B6" s="41">
        <f>4*43718+2*12477</f>
        <v>199826</v>
      </c>
      <c r="C6" s="41">
        <v>0</v>
      </c>
      <c r="D6" s="91">
        <f t="shared" ref="D6:D9" si="0">C6/$B$2</f>
        <v>0</v>
      </c>
      <c r="E6" s="91">
        <f t="shared" ref="E6:E9" si="1">B6+C6/$B$1</f>
        <v>199826</v>
      </c>
      <c r="F6" s="92">
        <f t="shared" ref="F6:F9" si="2">E6/$E$22</f>
        <v>0.10682892122480002</v>
      </c>
      <c r="G6" s="16" t="s">
        <v>1508</v>
      </c>
    </row>
    <row r="7" spans="1:7" x14ac:dyDescent="0.25">
      <c r="A7" s="33" t="s">
        <v>1501</v>
      </c>
      <c r="B7" s="41">
        <f>4*9258+8*25191</f>
        <v>238560</v>
      </c>
      <c r="C7" s="41">
        <v>0</v>
      </c>
      <c r="D7" s="91">
        <f t="shared" si="0"/>
        <v>0</v>
      </c>
      <c r="E7" s="91">
        <f t="shared" si="1"/>
        <v>238560</v>
      </c>
      <c r="F7" s="92">
        <f t="shared" si="2"/>
        <v>0.12753649398670991</v>
      </c>
      <c r="G7" s="16" t="s">
        <v>1509</v>
      </c>
    </row>
    <row r="8" spans="1:7" x14ac:dyDescent="0.25">
      <c r="A8" s="33" t="s">
        <v>1502</v>
      </c>
      <c r="B8" s="41">
        <v>0</v>
      </c>
      <c r="C8" s="41">
        <f>636958-620346</f>
        <v>16612</v>
      </c>
      <c r="D8" s="91">
        <f t="shared" si="0"/>
        <v>23543.083900226757</v>
      </c>
      <c r="E8" s="91">
        <f t="shared" si="1"/>
        <v>23731.428571428572</v>
      </c>
      <c r="F8" s="92">
        <f t="shared" si="2"/>
        <v>1.2687052302548775E-2</v>
      </c>
      <c r="G8" s="16" t="s">
        <v>1505</v>
      </c>
    </row>
    <row r="9" spans="1:7" x14ac:dyDescent="0.25">
      <c r="A9" s="33" t="s">
        <v>1522</v>
      </c>
      <c r="B9" s="41">
        <f>SUM(B5:B8)</f>
        <v>493880</v>
      </c>
      <c r="C9" s="41">
        <f>636958-B9</f>
        <v>143078</v>
      </c>
      <c r="D9" s="91">
        <f t="shared" si="0"/>
        <v>202774.9433106576</v>
      </c>
      <c r="E9" s="91">
        <f t="shared" si="1"/>
        <v>698277.14285714284</v>
      </c>
      <c r="F9" s="92">
        <f t="shared" si="2"/>
        <v>0.37330574543534945</v>
      </c>
      <c r="G9" s="16" t="s">
        <v>1506</v>
      </c>
    </row>
    <row r="10" spans="1:7" x14ac:dyDescent="0.25">
      <c r="A10" s="33"/>
      <c r="B10" s="41"/>
      <c r="C10" s="41"/>
      <c r="D10" s="91"/>
      <c r="E10" s="91"/>
      <c r="F10" s="92"/>
      <c r="G10" s="16"/>
    </row>
    <row r="11" spans="1:7" x14ac:dyDescent="0.25">
      <c r="A11" s="33" t="s">
        <v>1523</v>
      </c>
      <c r="B11" s="41">
        <v>279590</v>
      </c>
      <c r="C11" s="41">
        <v>0</v>
      </c>
      <c r="D11" s="91">
        <f t="shared" ref="D11:D13" si="3">C11/$B$2</f>
        <v>0</v>
      </c>
      <c r="E11" s="91">
        <f t="shared" ref="E11:E13" si="4">B11+C11/$B$1</f>
        <v>279590</v>
      </c>
      <c r="F11" s="92">
        <f t="shared" ref="F11:F13" si="5">E11/$E$22</f>
        <v>0.14947153065788155</v>
      </c>
      <c r="G11" s="16" t="s">
        <v>1507</v>
      </c>
    </row>
    <row r="12" spans="1:7" x14ac:dyDescent="0.25">
      <c r="A12" s="33" t="s">
        <v>1241</v>
      </c>
      <c r="B12" s="41">
        <v>54892</v>
      </c>
      <c r="C12" s="41">
        <v>0</v>
      </c>
      <c r="D12" s="91">
        <f t="shared" si="3"/>
        <v>0</v>
      </c>
      <c r="E12" s="91">
        <f t="shared" si="4"/>
        <v>54892</v>
      </c>
      <c r="F12" s="92">
        <f t="shared" si="5"/>
        <v>2.9345796562367875E-2</v>
      </c>
      <c r="G12" s="16" t="s">
        <v>1511</v>
      </c>
    </row>
    <row r="13" spans="1:7" x14ac:dyDescent="0.25">
      <c r="A13" s="33" t="s">
        <v>1521</v>
      </c>
      <c r="B13" s="41">
        <f>SUM(B11:B12)</f>
        <v>334482</v>
      </c>
      <c r="C13" s="41">
        <f>612006-B13</f>
        <v>277524</v>
      </c>
      <c r="D13" s="91">
        <f t="shared" si="3"/>
        <v>393316.32653061225</v>
      </c>
      <c r="E13" s="91">
        <f t="shared" si="4"/>
        <v>730944.85714285716</v>
      </c>
      <c r="F13" s="92">
        <f t="shared" si="5"/>
        <v>0.39077022291086744</v>
      </c>
      <c r="G13" s="16" t="s">
        <v>1512</v>
      </c>
    </row>
    <row r="14" spans="1:7" x14ac:dyDescent="0.25">
      <c r="A14" s="33"/>
      <c r="B14" s="41"/>
      <c r="C14" s="41"/>
      <c r="D14" s="91"/>
      <c r="E14" s="91"/>
      <c r="F14" s="92"/>
      <c r="G14" s="16"/>
    </row>
    <row r="15" spans="1:7" x14ac:dyDescent="0.25">
      <c r="A15" s="33" t="s">
        <v>1520</v>
      </c>
      <c r="B15" s="41">
        <v>0</v>
      </c>
      <c r="C15" s="41">
        <v>4693</v>
      </c>
      <c r="D15" s="91">
        <f>C15/$B$2</f>
        <v>6651.0770975056685</v>
      </c>
      <c r="E15" s="91">
        <f t="shared" ref="E15:E22" si="6">B15+C15/$B$1</f>
        <v>6704.2857142857147</v>
      </c>
      <c r="F15" s="92">
        <f t="shared" ref="F15:F18" si="7">E15/$E$22</f>
        <v>3.5841762855683482E-3</v>
      </c>
      <c r="G15" s="16" t="s">
        <v>1516</v>
      </c>
    </row>
    <row r="16" spans="1:7" x14ac:dyDescent="0.25">
      <c r="A16" s="33"/>
      <c r="B16" s="41"/>
      <c r="C16" s="41"/>
      <c r="D16" s="91"/>
      <c r="E16" s="91"/>
      <c r="F16" s="92"/>
      <c r="G16" s="16"/>
    </row>
    <row r="17" spans="1:7" x14ac:dyDescent="0.25">
      <c r="A17" s="33" t="s">
        <v>1524</v>
      </c>
      <c r="B17" s="41">
        <v>304080</v>
      </c>
      <c r="C17" s="41">
        <v>0</v>
      </c>
      <c r="D17" s="91">
        <f t="shared" ref="D17:D18" si="8">C17/$B$2</f>
        <v>0</v>
      </c>
      <c r="E17" s="91">
        <f t="shared" si="6"/>
        <v>304080</v>
      </c>
      <c r="F17" s="92">
        <f t="shared" si="7"/>
        <v>0.16256412261686262</v>
      </c>
      <c r="G17" s="16" t="s">
        <v>1513</v>
      </c>
    </row>
    <row r="18" spans="1:7" x14ac:dyDescent="0.25">
      <c r="A18" s="33" t="s">
        <v>1519</v>
      </c>
      <c r="B18" s="41">
        <f>B17</f>
        <v>304080</v>
      </c>
      <c r="C18" s="41">
        <f>395312-B17</f>
        <v>91232</v>
      </c>
      <c r="D18" s="91">
        <f t="shared" si="8"/>
        <v>129297.05215419501</v>
      </c>
      <c r="E18" s="91">
        <f t="shared" si="6"/>
        <v>434411.42857142858</v>
      </c>
      <c r="F18" s="92">
        <f t="shared" si="7"/>
        <v>0.23224057070656465</v>
      </c>
      <c r="G18" s="16" t="s">
        <v>1514</v>
      </c>
    </row>
    <row r="19" spans="1:7" x14ac:dyDescent="0.25">
      <c r="A19" s="33"/>
      <c r="B19" s="41"/>
      <c r="C19" s="41"/>
      <c r="D19" s="91"/>
      <c r="E19" s="91"/>
      <c r="F19" s="92"/>
      <c r="G19" s="16"/>
    </row>
    <row r="20" spans="1:7" x14ac:dyDescent="0.25">
      <c r="A20" s="33" t="s">
        <v>1518</v>
      </c>
      <c r="B20" s="41">
        <v>0</v>
      </c>
      <c r="C20" s="41">
        <v>130</v>
      </c>
      <c r="D20" s="91">
        <f>C20/$B$2</f>
        <v>184.24036281179139</v>
      </c>
      <c r="E20" s="91">
        <f t="shared" si="6"/>
        <v>185.71428571428572</v>
      </c>
      <c r="F20" s="92">
        <f>E20/$E$22</f>
        <v>9.9284661650092754E-5</v>
      </c>
      <c r="G20" s="16" t="s">
        <v>1515</v>
      </c>
    </row>
    <row r="21" spans="1:7" x14ac:dyDescent="0.25">
      <c r="A21" s="33"/>
      <c r="B21" s="41"/>
      <c r="C21" s="41"/>
      <c r="D21" s="91"/>
      <c r="E21" s="91"/>
      <c r="F21" s="92"/>
      <c r="G21" s="16"/>
    </row>
    <row r="22" spans="1:7" ht="30.75" thickBot="1" x14ac:dyDescent="0.3">
      <c r="A22" s="34" t="s">
        <v>1517</v>
      </c>
      <c r="B22" s="95">
        <f>B9+B13+B18+B20+B15</f>
        <v>1132442</v>
      </c>
      <c r="C22" s="95">
        <f>C9+C13+C18+C20+C15</f>
        <v>516657</v>
      </c>
      <c r="D22" s="96">
        <f>C22/$B$2</f>
        <v>732223.63945578225</v>
      </c>
      <c r="E22" s="96">
        <f t="shared" si="6"/>
        <v>1870523.4285714286</v>
      </c>
      <c r="F22" s="97">
        <f>E22/$E$22</f>
        <v>1</v>
      </c>
      <c r="G22" s="18" t="s">
        <v>1527</v>
      </c>
    </row>
    <row r="23" spans="1:7" x14ac:dyDescent="0.25">
      <c r="B23" s="86"/>
      <c r="C23" s="86"/>
      <c r="D23" s="86"/>
      <c r="E23" s="89"/>
      <c r="F23" s="90"/>
    </row>
    <row r="24" spans="1:7" x14ac:dyDescent="0.25">
      <c r="B24" s="86"/>
      <c r="C24" s="86"/>
      <c r="D24" s="86"/>
      <c r="E24" s="89"/>
      <c r="F24" s="90"/>
    </row>
    <row r="25" spans="1:7" x14ac:dyDescent="0.25">
      <c r="B25" s="86"/>
      <c r="C25" s="86"/>
      <c r="D25" s="86"/>
      <c r="E25" s="89"/>
      <c r="F25" s="90"/>
    </row>
    <row r="26" spans="1:7" x14ac:dyDescent="0.25">
      <c r="B26" s="86"/>
      <c r="C26" s="86"/>
      <c r="D26" s="86"/>
      <c r="E26" s="89"/>
      <c r="F26" s="90"/>
    </row>
    <row r="27" spans="1:7" x14ac:dyDescent="0.25">
      <c r="B27" s="86"/>
      <c r="C27" s="86"/>
      <c r="D27" s="86"/>
      <c r="E27" s="89"/>
      <c r="F27" s="90"/>
    </row>
    <row r="28" spans="1:7" x14ac:dyDescent="0.25">
      <c r="B28" s="86"/>
      <c r="C28" s="86"/>
      <c r="D28" s="86"/>
      <c r="E28" s="89"/>
      <c r="F28" s="90"/>
    </row>
    <row r="29" spans="1:7" x14ac:dyDescent="0.25">
      <c r="B29" s="86"/>
      <c r="C29" s="86"/>
      <c r="D29" s="86"/>
      <c r="E29" s="89"/>
      <c r="F29" s="90"/>
    </row>
    <row r="30" spans="1:7" x14ac:dyDescent="0.25">
      <c r="B30" s="86"/>
      <c r="C30" s="86"/>
      <c r="D30" s="86"/>
      <c r="E30" s="89"/>
      <c r="F30" s="90"/>
    </row>
    <row r="31" spans="1:7" x14ac:dyDescent="0.25">
      <c r="B31" s="86"/>
      <c r="C31" s="86"/>
      <c r="D31" s="86"/>
      <c r="E31" s="89"/>
      <c r="F31" s="90"/>
    </row>
    <row r="32" spans="1:7" x14ac:dyDescent="0.25">
      <c r="B32" s="86"/>
      <c r="C32" s="86"/>
      <c r="D32" s="86"/>
      <c r="E32" s="89"/>
      <c r="F32" s="90"/>
    </row>
    <row r="33" spans="2:7" x14ac:dyDescent="0.25">
      <c r="B33" s="86"/>
      <c r="C33" s="86"/>
      <c r="D33" s="86"/>
      <c r="E33" s="89"/>
      <c r="F33" s="90"/>
    </row>
    <row r="34" spans="2:7" x14ac:dyDescent="0.25">
      <c r="B34" s="86"/>
      <c r="C34" s="86"/>
      <c r="D34" s="86"/>
      <c r="E34" s="89"/>
      <c r="F34" s="90"/>
    </row>
    <row r="35" spans="2:7" x14ac:dyDescent="0.25">
      <c r="B35" s="86"/>
      <c r="C35" s="86"/>
      <c r="D35" s="86"/>
      <c r="E35" s="89"/>
      <c r="F35" s="90"/>
    </row>
    <row r="36" spans="2:7" x14ac:dyDescent="0.25">
      <c r="B36" s="86"/>
      <c r="C36" s="86"/>
      <c r="D36" s="86"/>
      <c r="E36" s="89"/>
      <c r="F36" s="90"/>
    </row>
    <row r="37" spans="2:7" x14ac:dyDescent="0.25">
      <c r="F37" s="88"/>
      <c r="G37" s="87"/>
    </row>
    <row r="38" spans="2:7" x14ac:dyDescent="0.25">
      <c r="F38" s="88"/>
      <c r="G38" s="87"/>
    </row>
    <row r="39" spans="2:7" x14ac:dyDescent="0.25">
      <c r="F39" s="88"/>
      <c r="G39" s="87"/>
    </row>
    <row r="40" spans="2:7" x14ac:dyDescent="0.25">
      <c r="F40" s="88"/>
      <c r="G40" s="87"/>
    </row>
    <row r="41" spans="2:7" x14ac:dyDescent="0.25">
      <c r="F41" s="88"/>
    </row>
    <row r="42" spans="2:7" x14ac:dyDescent="0.25">
      <c r="F42" s="88"/>
    </row>
  </sheetData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1891E4373CB34DAC7DEC65DAE0A1FC" ma:contentTypeVersion="0" ma:contentTypeDescription="Create a new document." ma:contentTypeScope="" ma:versionID="88fe6cb2a8084d131ebfa7b675f3561f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3BFB383-E4E5-48F3-B479-A1C213763B36}">
  <ds:schemaRefs>
    <ds:schemaRef ds:uri="http://purl.org/dc/terms/"/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A265DC8-E440-41A3-81AF-04B6C67D49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F805F99F-8520-4FD5-B354-231561194CA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Parameters</vt:lpstr>
      <vt:lpstr>USB</vt:lpstr>
      <vt:lpstr>SDIO</vt:lpstr>
      <vt:lpstr>UART</vt:lpstr>
      <vt:lpstr>INTC</vt:lpstr>
      <vt:lpstr>SPI</vt:lpstr>
      <vt:lpstr>I2C</vt:lpstr>
      <vt:lpstr>I2S</vt:lpstr>
      <vt:lpstr>RTC</vt:lpstr>
      <vt:lpstr>GPIO</vt:lpstr>
      <vt:lpstr>DMAC</vt:lpstr>
      <vt:lpstr>RAMROM</vt:lpstr>
      <vt:lpstr>WDT</vt:lpstr>
      <vt:lpstr>DSI</vt:lpstr>
      <vt:lpstr>PGU regs</vt:lpstr>
      <vt:lpstr>DDR</vt:lpstr>
      <vt:lpstr>Bridges</vt:lpstr>
      <vt:lpstr>Clocks</vt:lpstr>
      <vt:lpstr>Reset</vt:lpstr>
      <vt:lpstr>Interrupts</vt:lpstr>
      <vt:lpstr>Address Map</vt:lpstr>
      <vt:lpstr>DMA Flow Control</vt:lpstr>
      <vt:lpstr>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2012-11-14T12:38:02Z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0x010100D01891E4373CB34DAC7DEC65DAE0A1FC</vt:lpwstr>
  </property>
</Properties>
</file>